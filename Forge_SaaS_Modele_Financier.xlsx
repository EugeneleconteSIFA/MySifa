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Scénarios" sheetId="2" state="visible" r:id="rId4"/>
    <sheet name="Plan 3 ans" sheetId="3" state="visible" r:id="rId5"/>
    <sheet name="Grille tarifai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<sst xmlns="http://schemas.openxmlformats.org/spreadsheetml/2006/main" count="177" uniqueCount="148">
  <si>
    <t xml:space="preserve">FORGE — MODÈLE FINANCIER SAAS B2B INDUSTRIEL</t>
  </si>
  <si>
    <t xml:space="preserve">Tarification MySifa · Hypothèses modifiables (valeurs en bleu)</t>
  </si>
  <si>
    <t xml:space="preserve">  A · Abonnements mensuels (HT)</t>
  </si>
  <si>
    <t xml:space="preserve">Essentiel</t>
  </si>
  <si>
    <t xml:space="preserve">€/mois</t>
  </si>
  <si>
    <t xml:space="preserve">Hébergement + mises à jour sécu + support email 48h</t>
  </si>
  <si>
    <t xml:space="preserve">Suivi</t>
  </si>
  <si>
    <t xml:space="preserve">Essentiel + corrections + ≤2h évolutions/mois (le + courant)</t>
  </si>
  <si>
    <t xml:space="preserve">Partenaire</t>
  </si>
  <si>
    <t xml:space="preserve">Suivi + ≤6h évolutions/mois + réunion mensuelle</t>
  </si>
  <si>
    <t xml:space="preserve">  B · Forfaits mise en place (one-shot, HT)</t>
  </si>
  <si>
    <t xml:space="preserve">Starter  (1-2 modules, &lt; 30 users)</t>
  </si>
  <si>
    <t xml:space="preserve">€ moy.</t>
  </si>
  <si>
    <t xml:space="preserve">Fourchette 2 500 – 4 000 €</t>
  </si>
  <si>
    <t xml:space="preserve">Standard (3-5 modules, 30-100 users)</t>
  </si>
  <si>
    <t xml:space="preserve">Fourchette 4 000 – 7 000 €</t>
  </si>
  <si>
    <t xml:space="preserve">Sur mesure (ERP, &gt; 100 users)</t>
  </si>
  <si>
    <t xml:space="preserve">Fourchette 7 000 – 15 000 €</t>
  </si>
  <si>
    <t xml:space="preserve">  C · Régie / développements additionnels</t>
  </si>
  <si>
    <t xml:space="preserve">Tarif journalier (TJM)</t>
  </si>
  <si>
    <t xml:space="preserve">€/jour HT</t>
  </si>
  <si>
    <t xml:space="preserve">Facturation sur devis, hors abonnement</t>
  </si>
  <si>
    <t xml:space="preserve">Jours facturables estimés / mois</t>
  </si>
  <si>
    <t xml:space="preserve">j/mois moy.</t>
  </si>
  <si>
    <t xml:space="preserve">Hors setup ; variable selon charge</t>
  </si>
  <si>
    <t xml:space="preserve">  D · Charges mensuelles estimées</t>
  </si>
  <si>
    <t xml:space="preserve">Hébergement VPS (mutualisé)</t>
  </si>
  <si>
    <t xml:space="preserve">Hetzner ou OVH — 1 VPS par client progressivement</t>
  </si>
  <si>
    <t xml:space="preserve">Comptabilité</t>
  </si>
  <si>
    <t xml:space="preserve">Expert-comptable ou logiciel + conseil</t>
  </si>
  <si>
    <t xml:space="preserve">Assurance RC Pro</t>
  </si>
  <si>
    <t xml:space="preserve">Obligatoire en activité digitale B2B</t>
  </si>
  <si>
    <t xml:space="preserve">Outils &amp; licences (Git, monitoring…)</t>
  </si>
  <si>
    <t xml:space="preserve">GitHub, Sentry, domaine, email pro…</t>
  </si>
  <si>
    <t xml:space="preserve">Divers / imprévus</t>
  </si>
  <si>
    <t xml:space="preserve">Déplacements, formation, matériel</t>
  </si>
  <si>
    <t xml:space="preserve">TOTAL CHARGES FIXES</t>
  </si>
  <si>
    <t xml:space="preserve">Hors cotisations sociales</t>
  </si>
  <si>
    <t xml:space="preserve">  E · Cotisations sociales estimées</t>
  </si>
  <si>
    <t xml:space="preserve">Statut</t>
  </si>
  <si>
    <t xml:space="preserve">SASU / SAS</t>
  </si>
  <si>
    <t xml:space="preserve">Adapter si auto-entrepreneur</t>
  </si>
  <si>
    <t xml:space="preserve">Taux charges sociales estimé</t>
  </si>
  <si>
    <t xml:space="preserve">~45% du salaire brut en SASU</t>
  </si>
  <si>
    <t xml:space="preserve">Salaire brut mensuel cible</t>
  </si>
  <si>
    <t xml:space="preserve">À ajuster selon prélèvement souhaité</t>
  </si>
  <si>
    <t xml:space="preserve">Cotisations sociales estimées</t>
  </si>
  <si>
    <t xml:space="preserve">CHARGES TOTALES (fixes + sociales)</t>
  </si>
  <si>
    <t xml:space="preserve">FORGE — COMPARAISON DES SCÉNARIOS</t>
  </si>
  <si>
    <t xml:space="preserve">3 scénarios de développement · Revenus annuels et rentabilité nette estimée</t>
  </si>
  <si>
    <t xml:space="preserve">Objectif minimum</t>
  </si>
  <si>
    <t xml:space="preserve">Solo confirmé (15 clients)</t>
  </si>
  <si>
    <t xml:space="preserve">SaaS stable (50 clients)</t>
  </si>
  <si>
    <t xml:space="preserve">10-15 clients · 500-800 €/mois</t>
  </si>
  <si>
    <t xml:space="preserve">15 clients · 600 €/mois moy.</t>
  </si>
  <si>
    <t xml:space="preserve">50 clients · mix tarifaire</t>
  </si>
  <si>
    <t xml:space="preserve">  Revenus — Abonnements mensuels (MRR)</t>
  </si>
  <si>
    <t xml:space="preserve">· Clients Essentiel (150 €/mois)</t>
  </si>
  <si>
    <t xml:space="preserve">· Clients Suivi (280 €/mois)</t>
  </si>
  <si>
    <t xml:space="preserve">· Clients Partenaire (490 €/mois)</t>
  </si>
  <si>
    <t xml:space="preserve">TOTAL clients</t>
  </si>
  <si>
    <t xml:space="preserve">MRR (€/mois)</t>
  </si>
  <si>
    <t xml:space="preserve">ARR Abonnements (×12)</t>
  </si>
  <si>
    <t xml:space="preserve">  Revenus — Setups (one-shot, estimé annuel)</t>
  </si>
  <si>
    <t xml:space="preserve">· Setups Starter  (~3 000 € moy.)</t>
  </si>
  <si>
    <t xml:space="preserve">· Setups Standard (~5 500 € moy.)</t>
  </si>
  <si>
    <t xml:space="preserve">· Setups Sur mesure (~11 000 € moy.)</t>
  </si>
  <si>
    <t xml:space="preserve">TOTAL Setups / an</t>
  </si>
  <si>
    <t xml:space="preserve">  Revenus — Régie &amp; développements additionnels</t>
  </si>
  <si>
    <t xml:space="preserve">Jours facturés / an (@ 650 €/j)</t>
  </si>
  <si>
    <t xml:space="preserve">TOTAL Régie / an</t>
  </si>
  <si>
    <t xml:space="preserve">  TOTAL REVENUS ANNUELS</t>
  </si>
  <si>
    <t xml:space="preserve">Abonnements (ARR)</t>
  </si>
  <si>
    <t xml:space="preserve">Setups</t>
  </si>
  <si>
    <t xml:space="preserve">Régie</t>
  </si>
  <si>
    <t xml:space="preserve">CHIFFRE D'AFFAIRES TOTAL / AN</t>
  </si>
  <si>
    <t xml:space="preserve">  Charges annuelles</t>
  </si>
  <si>
    <t xml:space="preserve">Charges fixes (×12 — cf. Hypothèses)</t>
  </si>
  <si>
    <t xml:space="preserve">  RÉSULTAT</t>
  </si>
  <si>
    <t xml:space="preserve">RÉSULTAT BRUT / AN (avant IS)</t>
  </si>
  <si>
    <t xml:space="preserve">Marge nette estimée</t>
  </si>
  <si>
    <t xml:space="preserve">Note : le résultat brut est avant impôt société (IS ~25%) et dividendes. Les charges sociales sur salaire sont incluses dans les charges fixes (Hypothèses!B32). Les valeurs en bleu sont modifiables directement dans ce tableau ou dans l'onglet Hypothèses.</t>
  </si>
  <si>
    <t xml:space="preserve">FORGE — PROJECTION SUR 3 ANS</t>
  </si>
  <si>
    <t xml:space="preserve">Montée en puissance progressive — du lancement à la stabilisation SaaS</t>
  </si>
  <si>
    <t xml:space="preserve">Année 1 — Lancement</t>
  </si>
  <si>
    <t xml:space="preserve">Année 2 — Croissance</t>
  </si>
  <si>
    <t xml:space="preserve">Année 3 — Stabilisation</t>
  </si>
  <si>
    <t xml:space="preserve">Var. A2→A3</t>
  </si>
  <si>
    <t xml:space="preserve">Phase service — beaucoup de setup</t>
  </si>
  <si>
    <t xml:space="preserve">Standardisation — ARR en hausse</t>
  </si>
  <si>
    <t xml:space="preserve">Scalabilité — MRR dominant</t>
  </si>
  <si>
    <t xml:space="preserve">  Portefeuille clients</t>
  </si>
  <si>
    <t xml:space="preserve">Clients Essentiel (150 €/mois)</t>
  </si>
  <si>
    <t xml:space="preserve">Clients Suivi (280 €/mois)</t>
  </si>
  <si>
    <t xml:space="preserve">Clients Partenaire (490 €/mois)</t>
  </si>
  <si>
    <t xml:space="preserve">  Revenus récurrents (MRR / ARR)</t>
  </si>
  <si>
    <t xml:space="preserve">  Revenus one-shot — Setups</t>
  </si>
  <si>
    <t xml:space="preserve">Setups Starter  (× 3 000 € moy.)</t>
  </si>
  <si>
    <t xml:space="preserve">Setups Standard (× 5 500 € moy.)</t>
  </si>
  <si>
    <t xml:space="preserve">Setups Sur mesure (× 11 000 € moy.)</t>
  </si>
  <si>
    <t xml:space="preserve">  Régie &amp; développements additionnels</t>
  </si>
  <si>
    <t xml:space="preserve">Jours régie facturés / an (650 €/j)</t>
  </si>
  <si>
    <t xml:space="preserve">  CHIFFRE D'AFFAIRES TOTAL</t>
  </si>
  <si>
    <t xml:space="preserve">CA TOTAL / AN</t>
  </si>
  <si>
    <t xml:space="preserve">Charges fixes + sociales (×12)</t>
  </si>
  <si>
    <t xml:space="preserve">dont : hébergement (croissance clients)</t>
  </si>
  <si>
    <t xml:space="preserve">TOTAL CHARGES / AN</t>
  </si>
  <si>
    <t xml:space="preserve">Marge nette</t>
  </si>
  <si>
    <t xml:space="preserve">% revenus récurrents (ARR/CA)</t>
  </si>
  <si>
    <t xml:space="preserve">Année 1 : phase service — les setups financent le lancement et construisent la base clients. Année 2 : l'ARR dépasse les charges fixes — le modèle devient rentable sans setup. Année 3 : l'ARR couvre 60-70%+ du CA — stabilisation SaaS réelle.</t>
  </si>
  <si>
    <t xml:space="preserve">FORGE — GRILLE TARIFAIRE OFFICIELLE</t>
  </si>
  <si>
    <t xml:space="preserve">Référence commerciale · À utiliser pour les propositions clients</t>
  </si>
  <si>
    <t xml:space="preserve">  A · Abonnements mensuels (HT) — revenu récurrent</t>
  </si>
  <si>
    <t xml:space="preserve">Offre</t>
  </si>
  <si>
    <t xml:space="preserve">Tarif HT</t>
  </si>
  <si>
    <t xml:space="preserve">Contenu</t>
  </si>
  <si>
    <t xml:space="preserve">Inclus</t>
  </si>
  <si>
    <t xml:space="preserve">150 €/mois</t>
  </si>
  <si>
    <t xml:space="preserve">Hébergement VPS dédié</t>
  </si>
  <si>
    <t xml:space="preserve">Mises à jour sécurité · Support email 48h</t>
  </si>
  <si>
    <t xml:space="preserve">Suivi ★ le plus courant</t>
  </si>
  <si>
    <t xml:space="preserve">280 €/mois</t>
  </si>
  <si>
    <t xml:space="preserve">Essentiel + corrections bugs</t>
  </si>
  <si>
    <t xml:space="preserve">≤ 2h évolutions/mois · Support prioritaire</t>
  </si>
  <si>
    <t xml:space="preserve">490 €/mois</t>
  </si>
  <si>
    <t xml:space="preserve">Suivi + évolutions régulières</t>
  </si>
  <si>
    <t xml:space="preserve">≤ 6h/mois · Réunion mensuelle · Roadmap partagée</t>
  </si>
  <si>
    <t xml:space="preserve">Niveau</t>
  </si>
  <si>
    <t xml:space="preserve">Tarif moyen</t>
  </si>
  <si>
    <t xml:space="preserve">Fourchette</t>
  </si>
  <si>
    <t xml:space="preserve">Contexte</t>
  </si>
  <si>
    <t xml:space="preserve">Starter</t>
  </si>
  <si>
    <t xml:space="preserve">3 000 €</t>
  </si>
  <si>
    <t xml:space="preserve">2 500 – 4 000 €</t>
  </si>
  <si>
    <t xml:space="preserve">1-2 modules · &lt; 30 utilisateurs · process simple</t>
  </si>
  <si>
    <t xml:space="preserve">Standard</t>
  </si>
  <si>
    <t xml:space="preserve">5 500 €</t>
  </si>
  <si>
    <t xml:space="preserve">4 000 – 7 000 €</t>
  </si>
  <si>
    <t xml:space="preserve">3-5 modules · 30-100 utilisateurs · workflows métier</t>
  </si>
  <si>
    <t xml:space="preserve">Sur mesure</t>
  </si>
  <si>
    <t xml:space="preserve">11 000 €</t>
  </si>
  <si>
    <t xml:space="preserve">7 000 – 15 000 €</t>
  </si>
  <si>
    <t xml:space="preserve">Intégration ERP · &gt; 100 utilisateurs · logique complexe</t>
  </si>
  <si>
    <t xml:space="preserve">  Inclus dans tout setup : audit des besoins · conception · développement · déploiement · formation initiale</t>
  </si>
  <si>
    <t xml:space="preserve">650 €/jour HT</t>
  </si>
  <si>
    <t xml:space="preserve">≈ 85 €/heure</t>
  </si>
  <si>
    <t xml:space="preserve">Facturation sur devis · hors forfait abonnement</t>
  </si>
  <si>
    <t xml:space="preserve">Règle commerciale : toujours présenter setup ET abonnement ensemble. Ne jamais communiquer les tarifs sans avoir qualifié le besoin. L'abonnement inclut un hébergement dédié — pas de SaaS mutualisé. Positionnement : tarif PME — pas un budget grand compte.
Contact : Eugène Leconte · Forge · eugeneleconte@outlook.com · Lille / Hauts-de-France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</si>
</sst>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(#,##0&quot; €)&quot;;\-"/>
    <numFmt numFmtId="166" formatCode="0.0%"/>
    <numFmt numFmtId="167" formatCode="#,##0;\(#,##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94A3B8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A2332"/>
      <name val="Arial"/>
      <family val="0"/>
      <charset val="1"/>
    </font>
    <font>
      <b val="true"/>
      <sz val="12"/>
      <color rgb="FF22C55E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sz val="9"/>
      <color rgb="FF22C55E"/>
      <name val="Arial"/>
      <family val="0"/>
      <charset val="1"/>
    </font>
    <font>
      <b val="true"/>
      <sz val="13"/>
      <color rgb="FF22C55E"/>
      <name val="Arial"/>
      <family val="0"/>
      <charset val="1"/>
    </font>
    <font>
      <b val="true"/>
      <sz val="10"/>
      <color rgb="FF1A233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332"/>
        <bgColor rgb="FF003300"/>
      </patternFill>
    </fill>
    <fill>
      <patternFill patternType="solid">
        <fgColor rgb="FF3A7BD5"/>
        <bgColor rgb="FF0066CC"/>
      </patternFill>
    </fill>
    <fill>
      <patternFill patternType="solid">
        <fgColor rgb="FFF4F6FA"/>
        <bgColor rgb="FFEFF6FF"/>
      </patternFill>
    </fill>
    <fill>
      <patternFill patternType="solid">
        <fgColor rgb="FFFFFFFF"/>
        <bgColor rgb="FFF0FDF4"/>
      </patternFill>
    </fill>
    <fill>
      <patternFill patternType="solid">
        <fgColor rgb="FFFFF1F2"/>
        <bgColor rgb="FFF4F6FA"/>
      </patternFill>
    </fill>
    <fill>
      <patternFill patternType="solid">
        <fgColor rgb="FFF0A500"/>
        <bgColor rgb="FFFFCC00"/>
      </patternFill>
    </fill>
    <fill>
      <patternFill patternType="solid">
        <fgColor rgb="FFE2E8F0"/>
        <bgColor rgb="FFDBEAFE"/>
      </patternFill>
    </fill>
    <fill>
      <patternFill patternType="solid">
        <fgColor rgb="FFEFF6FF"/>
        <bgColor rgb="FFF4F6FA"/>
      </patternFill>
    </fill>
    <fill>
      <patternFill patternType="solid">
        <fgColor rgb="FFDBEAFE"/>
        <bgColor rgb="FFE2E8F0"/>
      </patternFill>
    </fill>
    <fill>
      <patternFill patternType="solid">
        <fgColor rgb="FFF0FDF4"/>
        <bgColor rgb="FFF4F6FA"/>
      </patternFill>
    </fill>
    <fill>
      <patternFill patternType="solid">
        <fgColor rgb="FFDCFCE7"/>
        <bgColor rgb="FFF0FDF4"/>
      </patternFill>
    </fill>
    <fill>
      <patternFill patternType="solid">
        <fgColor rgb="FF4B5563"/>
        <bgColor rgb="FF374151"/>
      </patternFill>
    </fill>
    <fill>
      <patternFill patternType="solid">
        <fgColor rgb="FF374151"/>
        <bgColor rgb="FF4B5563"/>
      </patternFill>
    </fill>
    <fill>
      <patternFill patternType="solid">
        <fgColor rgb="FFFEF3C7"/>
        <bgColor rgb="FFFFF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FF6F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FF1F2"/>
      <rgbColor rgb="FFF4F6FA"/>
      <rgbColor rgb="FFFF99CC"/>
      <rgbColor rgb="FFCC99FF"/>
      <rgbColor rgb="FFE2E8F0"/>
      <rgbColor rgb="FF3A7BD5"/>
      <rgbColor rgb="FF33CCCC"/>
      <rgbColor rgb="FF99CC00"/>
      <rgbColor rgb="FFFFCC00"/>
      <rgbColor rgb="FFF0A500"/>
      <rgbColor rgb="FFEF4444"/>
      <rgbColor rgb="FF6B7280"/>
      <rgbColor rgb="FF94A3B8"/>
      <rgbColor rgb="FF003366"/>
      <rgbColor rgb="FF22C55E"/>
      <rgbColor rgb="FF003300"/>
      <rgbColor rgb="FF1A2332"/>
      <rgbColor rgb="FF993300"/>
      <rgbColor rgb="FF993366"/>
      <rgbColor rgb="FF4B556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7BD5"/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">
        <v>2</v>
      </c>
      <c r="B4" s="4"/>
      <c r="C4" s="4"/>
      <c r="D4" s="4"/>
    </row>
    <row r="5" customFormat="false" ht="18" hidden="false" customHeight="true" outlineLevel="0" collapsed="false">
      <c r="A5" s="5" t="s">
        <v>3</v>
      </c>
      <c r="B5" s="6" t="n">
        <v>150</v>
      </c>
      <c r="C5" s="7" t="s">
        <v>4</v>
      </c>
      <c r="D5" s="8" t="s">
        <v>5</v>
      </c>
    </row>
    <row r="6" customFormat="false" ht="18" hidden="false" customHeight="true" outlineLevel="0" collapsed="false">
      <c r="A6" s="5" t="s">
        <v>6</v>
      </c>
      <c r="B6" s="6" t="n">
        <v>280</v>
      </c>
      <c r="C6" s="7" t="s">
        <v>4</v>
      </c>
      <c r="D6" s="8" t="s">
        <v>7</v>
      </c>
    </row>
    <row r="7" customFormat="false" ht="18" hidden="false" customHeight="true" outlineLevel="0" collapsed="false">
      <c r="A7" s="5" t="s">
        <v>8</v>
      </c>
      <c r="B7" s="6" t="n">
        <v>490</v>
      </c>
      <c r="C7" s="7" t="s">
        <v>4</v>
      </c>
      <c r="D7" s="8" t="s">
        <v>9</v>
      </c>
    </row>
    <row r="9" customFormat="false" ht="21.75" hidden="false" customHeight="true" outlineLevel="0" collapsed="false">
      <c r="A9" s="4" t="s">
        <v>10</v>
      </c>
      <c r="B9" s="4"/>
      <c r="C9" s="4"/>
      <c r="D9" s="4"/>
    </row>
    <row r="10" customFormat="false" ht="18" hidden="false" customHeight="true" outlineLevel="0" collapsed="false">
      <c r="A10" s="5" t="s">
        <v>11</v>
      </c>
      <c r="B10" s="6" t="n">
        <v>3000</v>
      </c>
      <c r="C10" s="7" t="s">
        <v>12</v>
      </c>
      <c r="D10" s="8" t="s">
        <v>13</v>
      </c>
    </row>
    <row r="11" customFormat="false" ht="18" hidden="false" customHeight="true" outlineLevel="0" collapsed="false">
      <c r="A11" s="5" t="s">
        <v>14</v>
      </c>
      <c r="B11" s="6" t="n">
        <v>5500</v>
      </c>
      <c r="C11" s="7" t="s">
        <v>12</v>
      </c>
      <c r="D11" s="8" t="s">
        <v>15</v>
      </c>
    </row>
    <row r="12" customFormat="false" ht="18" hidden="false" customHeight="true" outlineLevel="0" collapsed="false">
      <c r="A12" s="5" t="s">
        <v>16</v>
      </c>
      <c r="B12" s="6" t="n">
        <v>11000</v>
      </c>
      <c r="C12" s="7" t="s">
        <v>12</v>
      </c>
      <c r="D12" s="8" t="s">
        <v>17</v>
      </c>
    </row>
    <row r="14" customFormat="false" ht="21.75" hidden="false" customHeight="true" outlineLevel="0" collapsed="false">
      <c r="A14" s="4" t="s">
        <v>18</v>
      </c>
      <c r="B14" s="4"/>
      <c r="C14" s="4"/>
      <c r="D14" s="4"/>
    </row>
    <row r="15" customFormat="false" ht="18" hidden="false" customHeight="true" outlineLevel="0" collapsed="false">
      <c r="A15" s="5" t="s">
        <v>19</v>
      </c>
      <c r="B15" s="6" t="n">
        <v>650</v>
      </c>
      <c r="C15" s="7" t="s">
        <v>20</v>
      </c>
      <c r="D15" s="8" t="s">
        <v>21</v>
      </c>
    </row>
    <row r="16" customFormat="false" ht="18" hidden="false" customHeight="true" outlineLevel="0" collapsed="false">
      <c r="A16" s="5" t="s">
        <v>22</v>
      </c>
      <c r="B16" s="9" t="n">
        <v>5</v>
      </c>
      <c r="C16" s="7" t="s">
        <v>23</v>
      </c>
      <c r="D16" s="8" t="s">
        <v>24</v>
      </c>
    </row>
    <row r="18" customFormat="false" ht="21.75" hidden="false" customHeight="true" outlineLevel="0" collapsed="false">
      <c r="A18" s="4" t="s">
        <v>25</v>
      </c>
      <c r="B18" s="4"/>
      <c r="C18" s="4"/>
      <c r="D18" s="4"/>
    </row>
    <row r="19" customFormat="false" ht="18" hidden="false" customHeight="true" outlineLevel="0" collapsed="false">
      <c r="A19" s="5" t="s">
        <v>26</v>
      </c>
      <c r="B19" s="6" t="n">
        <v>150</v>
      </c>
      <c r="C19" s="7" t="s">
        <v>4</v>
      </c>
      <c r="D19" s="8" t="s">
        <v>27</v>
      </c>
    </row>
    <row r="20" customFormat="false" ht="18" hidden="false" customHeight="true" outlineLevel="0" collapsed="false">
      <c r="A20" s="5" t="s">
        <v>28</v>
      </c>
      <c r="B20" s="6" t="n">
        <v>200</v>
      </c>
      <c r="C20" s="7" t="s">
        <v>4</v>
      </c>
      <c r="D20" s="8" t="s">
        <v>29</v>
      </c>
    </row>
    <row r="21" customFormat="false" ht="18" hidden="false" customHeight="true" outlineLevel="0" collapsed="false">
      <c r="A21" s="5" t="s">
        <v>30</v>
      </c>
      <c r="B21" s="6" t="n">
        <v>60</v>
      </c>
      <c r="C21" s="7" t="s">
        <v>4</v>
      </c>
      <c r="D21" s="8" t="s">
        <v>31</v>
      </c>
    </row>
    <row r="22" customFormat="false" ht="18" hidden="false" customHeight="true" outlineLevel="0" collapsed="false">
      <c r="A22" s="5" t="s">
        <v>32</v>
      </c>
      <c r="B22" s="6" t="n">
        <v>100</v>
      </c>
      <c r="C22" s="7" t="s">
        <v>4</v>
      </c>
      <c r="D22" s="8" t="s">
        <v>33</v>
      </c>
    </row>
    <row r="23" customFormat="false" ht="18" hidden="false" customHeight="true" outlineLevel="0" collapsed="false">
      <c r="A23" s="5" t="s">
        <v>34</v>
      </c>
      <c r="B23" s="6" t="n">
        <v>90</v>
      </c>
      <c r="C23" s="7" t="s">
        <v>4</v>
      </c>
      <c r="D23" s="8" t="s">
        <v>35</v>
      </c>
    </row>
    <row r="24" customFormat="false" ht="18" hidden="false" customHeight="true" outlineLevel="0" collapsed="false">
      <c r="A24" s="5" t="s">
        <v>36</v>
      </c>
      <c r="B24" s="10" t="n">
        <f aca="false">SUM(B19:B23)</f>
        <v>600</v>
      </c>
      <c r="C24" s="7" t="s">
        <v>4</v>
      </c>
      <c r="D24" s="8" t="s">
        <v>37</v>
      </c>
    </row>
    <row r="25" customFormat="false" ht="7.5" hidden="false" customHeight="true" outlineLevel="0" collapsed="false"/>
    <row r="26" customFormat="false" ht="21.75" hidden="false" customHeight="true" outlineLevel="0" collapsed="false">
      <c r="A26" s="4" t="s">
        <v>38</v>
      </c>
      <c r="B26" s="4"/>
      <c r="C26" s="4"/>
      <c r="D26" s="4"/>
    </row>
    <row r="27" customFormat="false" ht="18" hidden="false" customHeight="true" outlineLevel="0" collapsed="false">
      <c r="A27" s="5" t="s">
        <v>39</v>
      </c>
      <c r="B27" s="9" t="s">
        <v>40</v>
      </c>
      <c r="C27" s="7"/>
      <c r="D27" s="8" t="s">
        <v>41</v>
      </c>
    </row>
    <row r="28" customFormat="false" ht="18" hidden="false" customHeight="true" outlineLevel="0" collapsed="false">
      <c r="A28" s="5" t="s">
        <v>42</v>
      </c>
      <c r="B28" s="11" t="n">
        <v>0.45</v>
      </c>
      <c r="C28" s="7"/>
      <c r="D28" s="8" t="s">
        <v>43</v>
      </c>
    </row>
    <row r="29" customFormat="false" ht="18" hidden="false" customHeight="true" outlineLevel="0" collapsed="false">
      <c r="A29" s="5" t="s">
        <v>44</v>
      </c>
      <c r="B29" s="6" t="n">
        <v>3500</v>
      </c>
      <c r="C29" s="7" t="s">
        <v>4</v>
      </c>
      <c r="D29" s="8" t="s">
        <v>45</v>
      </c>
    </row>
    <row r="30" customFormat="false" ht="18" hidden="false" customHeight="true" outlineLevel="0" collapsed="false">
      <c r="A30" s="5" t="s">
        <v>46</v>
      </c>
      <c r="B30" s="10" t="n">
        <f aca="false">B29*B28</f>
        <v>1575</v>
      </c>
      <c r="C30" s="7" t="s">
        <v>4</v>
      </c>
      <c r="D30" s="8"/>
    </row>
    <row r="32" customFormat="false" ht="21.75" hidden="false" customHeight="true" outlineLevel="0" collapsed="false">
      <c r="A32" s="5" t="s">
        <v>47</v>
      </c>
      <c r="B32" s="12" t="n">
        <f aca="false">B24+B30</f>
        <v>2175</v>
      </c>
      <c r="C32" s="7" t="s">
        <v>4</v>
      </c>
      <c r="D32" s="8"/>
    </row>
  </sheetData>
  <mergeCells count="7">
    <mergeCell ref="A1:D1"/>
    <mergeCell ref="A2:D2"/>
    <mergeCell ref="A4:D4"/>
    <mergeCell ref="A9:D9"/>
    <mergeCell ref="A14:D14"/>
    <mergeCell ref="A18:D18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A50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2"/>
    <col collapsed="false" customWidth="true" hidden="false" outlineLevel="0" max="5" min="5" style="1" width="24"/>
  </cols>
  <sheetData>
    <row r="1" customFormat="false" ht="39.75" hidden="false" customHeight="true" outlineLevel="0" collapsed="false">
      <c r="A1" s="2" t="s">
        <v>48</v>
      </c>
      <c r="B1" s="2"/>
      <c r="C1" s="2"/>
      <c r="D1" s="2"/>
      <c r="E1" s="2"/>
    </row>
    <row r="2" customFormat="false" ht="13.5" hidden="false" customHeight="true" outlineLevel="0" collapsed="false">
      <c r="A2" s="3" t="s">
        <v>49</v>
      </c>
      <c r="B2" s="3"/>
      <c r="C2" s="3"/>
      <c r="D2" s="3"/>
      <c r="E2" s="3"/>
    </row>
    <row r="4" customFormat="false" ht="25.5" hidden="false" customHeight="true" outlineLevel="0" collapsed="false">
      <c r="A4" s="13"/>
      <c r="B4" s="13" t="s">
        <v>50</v>
      </c>
      <c r="C4" s="14" t="s">
        <v>51</v>
      </c>
      <c r="D4" s="15" t="s">
        <v>52</v>
      </c>
    </row>
    <row r="5" customFormat="false" ht="18" hidden="false" customHeight="true" outlineLevel="0" collapsed="false">
      <c r="A5" s="16"/>
      <c r="B5" s="17" t="s">
        <v>53</v>
      </c>
      <c r="C5" s="18" t="s">
        <v>54</v>
      </c>
      <c r="D5" s="19" t="s">
        <v>55</v>
      </c>
    </row>
    <row r="7" customFormat="false" ht="19.5" hidden="false" customHeight="true" outlineLevel="0" collapsed="false">
      <c r="A7" s="4" t="s">
        <v>56</v>
      </c>
      <c r="B7" s="4"/>
      <c r="C7" s="4"/>
      <c r="D7" s="4"/>
      <c r="E7" s="4"/>
    </row>
    <row r="8" customFormat="false" ht="18" hidden="false" customHeight="true" outlineLevel="0" collapsed="false">
      <c r="A8" s="5" t="s">
        <v>57</v>
      </c>
      <c r="B8" s="20" t="n">
        <v>8</v>
      </c>
      <c r="C8" s="20" t="n">
        <v>10</v>
      </c>
      <c r="D8" s="20" t="n">
        <v>35</v>
      </c>
      <c r="E8" s="21"/>
    </row>
    <row r="9" customFormat="false" ht="18" hidden="false" customHeight="true" outlineLevel="0" collapsed="false">
      <c r="A9" s="5" t="s">
        <v>58</v>
      </c>
      <c r="B9" s="20" t="n">
        <v>4</v>
      </c>
      <c r="C9" s="20" t="n">
        <v>4</v>
      </c>
      <c r="D9" s="20" t="n">
        <v>12</v>
      </c>
      <c r="E9" s="21"/>
    </row>
    <row r="10" customFormat="false" ht="18" hidden="false" customHeight="true" outlineLevel="0" collapsed="false">
      <c r="A10" s="5" t="s">
        <v>59</v>
      </c>
      <c r="B10" s="20" t="n">
        <v>1</v>
      </c>
      <c r="C10" s="20" t="n">
        <v>1</v>
      </c>
      <c r="D10" s="20" t="n">
        <v>3</v>
      </c>
      <c r="E10" s="21"/>
    </row>
    <row r="11" customFormat="false" ht="18" hidden="false" customHeight="true" outlineLevel="0" collapsed="false">
      <c r="A11" s="22" t="s">
        <v>60</v>
      </c>
      <c r="B11" s="23" t="n">
        <f aca="false">B8+B9+B10</f>
        <v>13</v>
      </c>
      <c r="C11" s="23" t="n">
        <f aca="false">C8+C9+C10</f>
        <v>15</v>
      </c>
      <c r="D11" s="23" t="n">
        <f aca="false">D8+D9+D10</f>
        <v>50</v>
      </c>
      <c r="E11" s="21"/>
    </row>
    <row r="12" customFormat="false" ht="18" hidden="false" customHeight="true" outlineLevel="0" collapsed="false">
      <c r="A12" s="22" t="s">
        <v>61</v>
      </c>
      <c r="B12" s="24" t="n">
        <f aca="false">B8*150+B9*280+B10*490</f>
        <v>2810</v>
      </c>
      <c r="C12" s="24" t="n">
        <f aca="false">C8*150+C9*280+C10*490</f>
        <v>3110</v>
      </c>
      <c r="D12" s="24" t="n">
        <f aca="false">D8*150+D9*280+D10*490</f>
        <v>10080</v>
      </c>
      <c r="E12" s="21"/>
    </row>
    <row r="13" customFormat="false" ht="18" hidden="false" customHeight="true" outlineLevel="0" collapsed="false">
      <c r="A13" s="22" t="s">
        <v>62</v>
      </c>
      <c r="B13" s="25" t="n">
        <f aca="false">B12*12</f>
        <v>33720</v>
      </c>
      <c r="C13" s="25" t="n">
        <f aca="false">C12*12</f>
        <v>37320</v>
      </c>
      <c r="D13" s="25" t="n">
        <f aca="false">D12*12</f>
        <v>120960</v>
      </c>
      <c r="E13" s="21"/>
    </row>
    <row r="15" customFormat="false" ht="19.5" hidden="false" customHeight="true" outlineLevel="0" collapsed="false">
      <c r="A15" s="4" t="s">
        <v>63</v>
      </c>
      <c r="B15" s="4"/>
      <c r="C15" s="4"/>
      <c r="D15" s="4"/>
      <c r="E15" s="4"/>
    </row>
    <row r="16" customFormat="false" ht="18" hidden="false" customHeight="true" outlineLevel="0" collapsed="false">
      <c r="A16" s="5" t="s">
        <v>64</v>
      </c>
      <c r="B16" s="20" t="n">
        <v>3</v>
      </c>
      <c r="C16" s="20" t="n">
        <v>4</v>
      </c>
      <c r="D16" s="20" t="n">
        <v>15</v>
      </c>
      <c r="E16" s="21"/>
    </row>
    <row r="17" customFormat="false" ht="18" hidden="false" customHeight="true" outlineLevel="0" collapsed="false">
      <c r="A17" s="5" t="s">
        <v>65</v>
      </c>
      <c r="B17" s="20" t="n">
        <v>1</v>
      </c>
      <c r="C17" s="20" t="n">
        <v>2</v>
      </c>
      <c r="D17" s="20" t="n">
        <v>5</v>
      </c>
      <c r="E17" s="21"/>
    </row>
    <row r="18" customFormat="false" ht="18" hidden="false" customHeight="true" outlineLevel="0" collapsed="false">
      <c r="A18" s="5" t="s">
        <v>66</v>
      </c>
      <c r="B18" s="20" t="n">
        <v>0</v>
      </c>
      <c r="C18" s="20" t="n">
        <v>0</v>
      </c>
      <c r="D18" s="20" t="n">
        <v>2</v>
      </c>
      <c r="E18" s="21"/>
    </row>
    <row r="19" customFormat="false" ht="18" hidden="false" customHeight="true" outlineLevel="0" collapsed="false">
      <c r="A19" s="22" t="s">
        <v>67</v>
      </c>
      <c r="B19" s="25" t="n">
        <f aca="false">B16*3000+B17*5500+B18*11000</f>
        <v>14500</v>
      </c>
      <c r="C19" s="25" t="n">
        <f aca="false">C16*3000+C17*5500+C18*11000</f>
        <v>23000</v>
      </c>
      <c r="D19" s="25" t="n">
        <f aca="false">D16*3000+D17*5500+D18*11000</f>
        <v>94500</v>
      </c>
      <c r="E19" s="21"/>
    </row>
    <row r="21" customFormat="false" ht="19.5" hidden="false" customHeight="true" outlineLevel="0" collapsed="false">
      <c r="A21" s="4" t="s">
        <v>68</v>
      </c>
      <c r="B21" s="4"/>
      <c r="C21" s="4"/>
      <c r="D21" s="4"/>
      <c r="E21" s="4"/>
    </row>
    <row r="22" customFormat="false" ht="18" hidden="false" customHeight="true" outlineLevel="0" collapsed="false">
      <c r="A22" s="5" t="s">
        <v>69</v>
      </c>
      <c r="B22" s="20" t="n">
        <v>15</v>
      </c>
      <c r="C22" s="20" t="n">
        <v>30</v>
      </c>
      <c r="D22" s="20" t="n">
        <v>50</v>
      </c>
      <c r="E22" s="21"/>
    </row>
    <row r="23" customFormat="false" ht="18" hidden="false" customHeight="true" outlineLevel="0" collapsed="false">
      <c r="A23" s="22" t="s">
        <v>70</v>
      </c>
      <c r="B23" s="25" t="n">
        <f aca="false">B22*650</f>
        <v>9750</v>
      </c>
      <c r="C23" s="25" t="n">
        <f aca="false">C22*650</f>
        <v>19500</v>
      </c>
      <c r="D23" s="25" t="n">
        <f aca="false">D22*650</f>
        <v>32500</v>
      </c>
      <c r="E23" s="21"/>
    </row>
    <row r="25" customFormat="false" ht="19.5" hidden="false" customHeight="true" outlineLevel="0" collapsed="false">
      <c r="A25" s="4" t="s">
        <v>71</v>
      </c>
      <c r="B25" s="4"/>
      <c r="C25" s="4"/>
      <c r="D25" s="4"/>
      <c r="E25" s="4"/>
    </row>
    <row r="26" customFormat="false" ht="18" hidden="false" customHeight="true" outlineLevel="0" collapsed="false">
      <c r="A26" s="5" t="s">
        <v>72</v>
      </c>
      <c r="B26" s="26" t="n">
        <f aca="false">B13</f>
        <v>33720</v>
      </c>
      <c r="C26" s="26" t="n">
        <f aca="false">C13</f>
        <v>37320</v>
      </c>
      <c r="D26" s="26" t="n">
        <f aca="false">D13</f>
        <v>120960</v>
      </c>
      <c r="E26" s="21"/>
    </row>
    <row r="27" customFormat="false" ht="18" hidden="false" customHeight="true" outlineLevel="0" collapsed="false">
      <c r="A27" s="5" t="s">
        <v>73</v>
      </c>
      <c r="B27" s="26" t="n">
        <f aca="false">B19</f>
        <v>14500</v>
      </c>
      <c r="C27" s="26" t="n">
        <f aca="false">C19</f>
        <v>23000</v>
      </c>
      <c r="D27" s="26" t="n">
        <f aca="false">D19</f>
        <v>94500</v>
      </c>
      <c r="E27" s="21"/>
    </row>
    <row r="28" customFormat="false" ht="18" hidden="false" customHeight="true" outlineLevel="0" collapsed="false">
      <c r="A28" s="5" t="s">
        <v>74</v>
      </c>
      <c r="B28" s="26" t="n">
        <f aca="false">B23</f>
        <v>9750</v>
      </c>
      <c r="C28" s="26" t="n">
        <f aca="false">C23</f>
        <v>19500</v>
      </c>
      <c r="D28" s="26" t="n">
        <f aca="false">D23</f>
        <v>32500</v>
      </c>
      <c r="E28" s="21"/>
    </row>
    <row r="29" customFormat="false" ht="18" hidden="false" customHeight="true" outlineLevel="0" collapsed="false">
      <c r="A29" s="22" t="s">
        <v>75</v>
      </c>
      <c r="B29" s="27" t="n">
        <f aca="false">B26+B27+B28</f>
        <v>57970</v>
      </c>
      <c r="C29" s="27" t="n">
        <f aca="false">C26+C27+C28</f>
        <v>79820</v>
      </c>
      <c r="D29" s="27" t="n">
        <f aca="false">D26+D27+D28</f>
        <v>247960</v>
      </c>
      <c r="E29" s="21"/>
    </row>
    <row r="31" customFormat="false" ht="19.5" hidden="false" customHeight="true" outlineLevel="0" collapsed="false">
      <c r="A31" s="4" t="s">
        <v>76</v>
      </c>
      <c r="B31" s="4"/>
      <c r="C31" s="4"/>
      <c r="D31" s="4"/>
      <c r="E31" s="4"/>
    </row>
    <row r="32" customFormat="false" ht="18" hidden="false" customHeight="true" outlineLevel="0" collapsed="false">
      <c r="A32" s="5" t="s">
        <v>77</v>
      </c>
      <c r="B32" s="28" t="n">
        <f aca="false">Hypothèses!B32*12</f>
        <v>26100</v>
      </c>
      <c r="C32" s="28" t="n">
        <f aca="false">Hypothèses!B32*12</f>
        <v>26100</v>
      </c>
      <c r="D32" s="28" t="n">
        <f aca="false">Hypothèses!B32*12</f>
        <v>26100</v>
      </c>
      <c r="E32" s="21"/>
    </row>
    <row r="34" customFormat="false" ht="19.5" hidden="false" customHeight="true" outlineLevel="0" collapsed="false">
      <c r="A34" s="4" t="s">
        <v>78</v>
      </c>
      <c r="B34" s="4"/>
      <c r="C34" s="4"/>
      <c r="D34" s="4"/>
      <c r="E34" s="4"/>
    </row>
    <row r="35" customFormat="false" ht="18" hidden="false" customHeight="true" outlineLevel="0" collapsed="false">
      <c r="A35" s="22" t="s">
        <v>79</v>
      </c>
      <c r="B35" s="29" t="n">
        <f aca="false">B29-B32</f>
        <v>31870</v>
      </c>
      <c r="C35" s="29" t="n">
        <f aca="false">C29-C32</f>
        <v>53720</v>
      </c>
      <c r="D35" s="29" t="n">
        <f aca="false">D29-D32</f>
        <v>221860</v>
      </c>
      <c r="E35" s="21"/>
    </row>
    <row r="36" customFormat="false" ht="18" hidden="false" customHeight="true" outlineLevel="0" collapsed="false">
      <c r="A36" s="22" t="s">
        <v>80</v>
      </c>
      <c r="B36" s="30" t="n">
        <f aca="false">IFERROR(B35/B29,0)</f>
        <v>0.549767120924616</v>
      </c>
      <c r="C36" s="30" t="n">
        <f aca="false">IFERROR(C35/C29,0)</f>
        <v>0.673014282134803</v>
      </c>
      <c r="D36" s="30" t="n">
        <f aca="false">IFERROR(D35/D29,0)</f>
        <v>0.894741087272141</v>
      </c>
      <c r="E36" s="21"/>
    </row>
    <row r="38" customFormat="false" ht="39.75" hidden="false" customHeight="true" outlineLevel="0" collapsed="false">
      <c r="A38" s="31" t="s">
        <v>81</v>
      </c>
      <c r="B38" s="31"/>
      <c r="C38" s="31"/>
      <c r="D38" s="31"/>
      <c r="E38" s="31"/>
    </row>
  </sheetData>
  <mergeCells count="9">
    <mergeCell ref="A1:E1"/>
    <mergeCell ref="A2:E2"/>
    <mergeCell ref="A7:E7"/>
    <mergeCell ref="A15:E15"/>
    <mergeCell ref="A21:E21"/>
    <mergeCell ref="A25:E25"/>
    <mergeCell ref="A31:E31"/>
    <mergeCell ref="A34:E34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8"/>
  </cols>
  <sheetData>
    <row r="1" customFormat="false" ht="39.75" hidden="false" customHeight="true" outlineLevel="0" collapsed="false">
      <c r="A1" s="2" t="s">
        <v>82</v>
      </c>
      <c r="B1" s="2"/>
      <c r="C1" s="2"/>
      <c r="D1" s="2"/>
      <c r="E1" s="2"/>
    </row>
    <row r="2" customFormat="false" ht="13.5" hidden="false" customHeight="true" outlineLevel="0" collapsed="false">
      <c r="A2" s="3" t="s">
        <v>83</v>
      </c>
      <c r="B2" s="3"/>
      <c r="C2" s="3"/>
      <c r="D2" s="3"/>
      <c r="E2" s="3"/>
    </row>
    <row r="4" customFormat="false" ht="25.5" hidden="false" customHeight="true" outlineLevel="0" collapsed="false">
      <c r="A4" s="13"/>
      <c r="B4" s="13" t="s">
        <v>84</v>
      </c>
      <c r="C4" s="14" t="s">
        <v>85</v>
      </c>
      <c r="D4" s="15" t="s">
        <v>86</v>
      </c>
      <c r="E4" s="32" t="s">
        <v>87</v>
      </c>
    </row>
    <row r="5" customFormat="false" ht="18" hidden="false" customHeight="true" outlineLevel="0" collapsed="false">
      <c r="A5" s="17"/>
      <c r="B5" s="17" t="s">
        <v>88</v>
      </c>
      <c r="C5" s="18" t="s">
        <v>89</v>
      </c>
      <c r="D5" s="19" t="s">
        <v>90</v>
      </c>
      <c r="E5" s="33"/>
    </row>
    <row r="7" customFormat="false" ht="19.5" hidden="false" customHeight="true" outlineLevel="0" collapsed="false">
      <c r="A7" s="4" t="s">
        <v>91</v>
      </c>
      <c r="B7" s="4"/>
      <c r="C7" s="4"/>
      <c r="D7" s="4"/>
      <c r="E7" s="4"/>
    </row>
    <row r="8" customFormat="false" ht="18" hidden="false" customHeight="true" outlineLevel="0" collapsed="false">
      <c r="A8" s="5" t="s">
        <v>92</v>
      </c>
      <c r="B8" s="20" t="n">
        <v>4</v>
      </c>
      <c r="C8" s="20" t="n">
        <v>10</v>
      </c>
      <c r="D8" s="20" t="n">
        <v>35</v>
      </c>
      <c r="E8" s="34" t="n">
        <f aca="false">IFERROR((D8-C8)/ABS(C8),0)</f>
        <v>2.5</v>
      </c>
    </row>
    <row r="9" customFormat="false" ht="18" hidden="false" customHeight="true" outlineLevel="0" collapsed="false">
      <c r="A9" s="5" t="s">
        <v>93</v>
      </c>
      <c r="B9" s="20" t="n">
        <v>2</v>
      </c>
      <c r="C9" s="20" t="n">
        <v>4</v>
      </c>
      <c r="D9" s="20" t="n">
        <v>12</v>
      </c>
      <c r="E9" s="34" t="n">
        <f aca="false">IFERROR((D9-C9)/ABS(C9),0)</f>
        <v>2</v>
      </c>
    </row>
    <row r="10" customFormat="false" ht="18" hidden="false" customHeight="true" outlineLevel="0" collapsed="false">
      <c r="A10" s="5" t="s">
        <v>94</v>
      </c>
      <c r="B10" s="20" t="n">
        <v>0</v>
      </c>
      <c r="C10" s="20" t="n">
        <v>1</v>
      </c>
      <c r="D10" s="20" t="n">
        <v>3</v>
      </c>
      <c r="E10" s="34" t="n">
        <f aca="false">IFERROR((D10-C10)/ABS(C10),0)</f>
        <v>2</v>
      </c>
    </row>
    <row r="11" customFormat="false" ht="18" hidden="false" customHeight="true" outlineLevel="0" collapsed="false">
      <c r="A11" s="22" t="s">
        <v>60</v>
      </c>
      <c r="B11" s="23" t="n">
        <f aca="false">B8+B9+B10</f>
        <v>6</v>
      </c>
      <c r="C11" s="23" t="n">
        <f aca="false">C8+C9+C10</f>
        <v>15</v>
      </c>
      <c r="D11" s="23" t="n">
        <f aca="false">D8+D9+D10</f>
        <v>50</v>
      </c>
      <c r="E11" s="34" t="n">
        <f aca="false">IFERROR((D8+D9+D10)/(C8+C9+C10)-1,0)</f>
        <v>2.33333333333333</v>
      </c>
    </row>
    <row r="13" customFormat="false" ht="19.5" hidden="false" customHeight="true" outlineLevel="0" collapsed="false">
      <c r="A13" s="4" t="s">
        <v>95</v>
      </c>
      <c r="B13" s="4"/>
      <c r="C13" s="4"/>
      <c r="D13" s="4"/>
      <c r="E13" s="4"/>
    </row>
    <row r="14" customFormat="false" ht="18" hidden="false" customHeight="true" outlineLevel="0" collapsed="false">
      <c r="A14" s="22" t="s">
        <v>61</v>
      </c>
      <c r="B14" s="24" t="n">
        <f aca="false">B8*150+B9*280+B10*490</f>
        <v>1160</v>
      </c>
      <c r="C14" s="24" t="n">
        <f aca="false">C8*150+C9*280+C10*490</f>
        <v>3110</v>
      </c>
      <c r="D14" s="24" t="n">
        <f aca="false">D8*150+D9*280+D10*490</f>
        <v>10080</v>
      </c>
      <c r="E14" s="34" t="n">
        <f aca="false">IFERROR((D8*150+D9*280+D10*490)/(C8*150+C9*280+C10*490)-1,0)</f>
        <v>2.2411575562701</v>
      </c>
    </row>
    <row r="15" customFormat="false" ht="18" hidden="false" customHeight="true" outlineLevel="0" collapsed="false">
      <c r="A15" s="22" t="s">
        <v>62</v>
      </c>
      <c r="B15" s="25" t="n">
        <f aca="false">B14*12</f>
        <v>13920</v>
      </c>
      <c r="C15" s="25" t="n">
        <f aca="false">C14*12</f>
        <v>37320</v>
      </c>
      <c r="D15" s="25" t="n">
        <f aca="false">D14*12</f>
        <v>120960</v>
      </c>
      <c r="E15" s="34" t="n">
        <f aca="false">IFERROR((D14*12)/(C14*12)-1,0)</f>
        <v>2.2411575562701</v>
      </c>
    </row>
    <row r="17" customFormat="false" ht="19.5" hidden="false" customHeight="true" outlineLevel="0" collapsed="false">
      <c r="A17" s="4" t="s">
        <v>96</v>
      </c>
      <c r="B17" s="4"/>
      <c r="C17" s="4"/>
      <c r="D17" s="4"/>
      <c r="E17" s="4"/>
    </row>
    <row r="18" customFormat="false" ht="18" hidden="false" customHeight="true" outlineLevel="0" collapsed="false">
      <c r="A18" s="5" t="s">
        <v>97</v>
      </c>
      <c r="B18" s="20" t="n">
        <v>5</v>
      </c>
      <c r="C18" s="20" t="n">
        <v>8</v>
      </c>
      <c r="D18" s="20" t="n">
        <v>15</v>
      </c>
      <c r="E18" s="34" t="n">
        <f aca="false">IFERROR((D18-C18)/ABS(C18),0)</f>
        <v>0.875</v>
      </c>
    </row>
    <row r="19" customFormat="false" ht="18" hidden="false" customHeight="true" outlineLevel="0" collapsed="false">
      <c r="A19" s="5" t="s">
        <v>98</v>
      </c>
      <c r="B19" s="20" t="n">
        <v>2</v>
      </c>
      <c r="C19" s="20" t="n">
        <v>3</v>
      </c>
      <c r="D19" s="20" t="n">
        <v>6</v>
      </c>
      <c r="E19" s="34" t="n">
        <f aca="false">IFERROR((D19-C19)/ABS(C19),0)</f>
        <v>1</v>
      </c>
    </row>
    <row r="20" customFormat="false" ht="18" hidden="false" customHeight="true" outlineLevel="0" collapsed="false">
      <c r="A20" s="5" t="s">
        <v>99</v>
      </c>
      <c r="B20" s="20" t="n">
        <v>0</v>
      </c>
      <c r="C20" s="20" t="n">
        <v>1</v>
      </c>
      <c r="D20" s="20" t="n">
        <v>2</v>
      </c>
      <c r="E20" s="34" t="n">
        <f aca="false">IFERROR((D20-C20)/ABS(C20),0)</f>
        <v>1</v>
      </c>
    </row>
    <row r="21" customFormat="false" ht="18" hidden="false" customHeight="true" outlineLevel="0" collapsed="false">
      <c r="A21" s="22" t="s">
        <v>67</v>
      </c>
      <c r="B21" s="25" t="n">
        <f aca="false">B18*3000+B19*5500+B20*11000</f>
        <v>26000</v>
      </c>
      <c r="C21" s="25" t="n">
        <f aca="false">C18*3000+C19*5500+C20*11000</f>
        <v>51500</v>
      </c>
      <c r="D21" s="25" t="n">
        <f aca="false">D18*3000+D19*5500+D20*11000</f>
        <v>100000</v>
      </c>
      <c r="E21" s="34" t="n">
        <f aca="false">IFERROR((D18*3000+D19*5500+D20*11000)/(C18*3000+C19*5500+C20*11000)-1,0)</f>
        <v>0.941747572815534</v>
      </c>
    </row>
    <row r="23" customFormat="false" ht="19.5" hidden="false" customHeight="true" outlineLevel="0" collapsed="false">
      <c r="A23" s="4" t="s">
        <v>100</v>
      </c>
      <c r="B23" s="4"/>
      <c r="C23" s="4"/>
      <c r="D23" s="4"/>
      <c r="E23" s="4"/>
    </row>
    <row r="24" customFormat="false" ht="18" hidden="false" customHeight="true" outlineLevel="0" collapsed="false">
      <c r="A24" s="5" t="s">
        <v>101</v>
      </c>
      <c r="B24" s="20" t="n">
        <v>20</v>
      </c>
      <c r="C24" s="20" t="n">
        <v>35</v>
      </c>
      <c r="D24" s="20" t="n">
        <v>55</v>
      </c>
      <c r="E24" s="34" t="n">
        <f aca="false">IFERROR((D24-C24)/ABS(C24),0)</f>
        <v>0.571428571428571</v>
      </c>
    </row>
    <row r="25" customFormat="false" ht="18" hidden="false" customHeight="true" outlineLevel="0" collapsed="false">
      <c r="A25" s="22" t="s">
        <v>70</v>
      </c>
      <c r="B25" s="25" t="n">
        <f aca="false">B24*650</f>
        <v>13000</v>
      </c>
      <c r="C25" s="25" t="n">
        <f aca="false">C24*650</f>
        <v>22750</v>
      </c>
      <c r="D25" s="25" t="n">
        <f aca="false">D24*650</f>
        <v>35750</v>
      </c>
      <c r="E25" s="34" t="n">
        <f aca="false">IFERROR((D24*650)/(C24*650)-1,0)</f>
        <v>0.571428571428571</v>
      </c>
    </row>
    <row r="27" customFormat="false" ht="19.5" hidden="false" customHeight="true" outlineLevel="0" collapsed="false">
      <c r="A27" s="4" t="s">
        <v>102</v>
      </c>
      <c r="B27" s="4"/>
      <c r="C27" s="4"/>
      <c r="D27" s="4"/>
      <c r="E27" s="4"/>
    </row>
    <row r="28" customFormat="false" ht="18" hidden="false" customHeight="true" outlineLevel="0" collapsed="false">
      <c r="A28" s="5" t="s">
        <v>72</v>
      </c>
      <c r="B28" s="26" t="n">
        <f aca="false">B15</f>
        <v>13920</v>
      </c>
      <c r="C28" s="26" t="n">
        <f aca="false">C15</f>
        <v>37320</v>
      </c>
      <c r="D28" s="26" t="n">
        <f aca="false">D15</f>
        <v>120960</v>
      </c>
      <c r="E28" s="34" t="n">
        <f aca="false">IFERROR((D15)/(C15)-1,0)</f>
        <v>2.2411575562701</v>
      </c>
    </row>
    <row r="29" customFormat="false" ht="18" hidden="false" customHeight="true" outlineLevel="0" collapsed="false">
      <c r="A29" s="5" t="s">
        <v>73</v>
      </c>
      <c r="B29" s="26" t="n">
        <f aca="false">B21</f>
        <v>26000</v>
      </c>
      <c r="C29" s="26" t="n">
        <f aca="false">C21</f>
        <v>51500</v>
      </c>
      <c r="D29" s="26" t="n">
        <f aca="false">D21</f>
        <v>100000</v>
      </c>
      <c r="E29" s="34" t="n">
        <f aca="false">IFERROR((D21)/(C21)-1,0)</f>
        <v>0.941747572815534</v>
      </c>
    </row>
    <row r="30" customFormat="false" ht="18" hidden="false" customHeight="true" outlineLevel="0" collapsed="false">
      <c r="A30" s="5" t="s">
        <v>74</v>
      </c>
      <c r="B30" s="26" t="n">
        <f aca="false">B25</f>
        <v>13000</v>
      </c>
      <c r="C30" s="26" t="n">
        <f aca="false">C25</f>
        <v>22750</v>
      </c>
      <c r="D30" s="26" t="n">
        <f aca="false">D25</f>
        <v>35750</v>
      </c>
      <c r="E30" s="34" t="n">
        <f aca="false">IFERROR((D25)/(C25)-1,0)</f>
        <v>0.571428571428571</v>
      </c>
    </row>
    <row r="31" customFormat="false" ht="18" hidden="false" customHeight="true" outlineLevel="0" collapsed="false">
      <c r="A31" s="22" t="s">
        <v>103</v>
      </c>
      <c r="B31" s="27" t="n">
        <f aca="false">B28+B29+B30</f>
        <v>52920</v>
      </c>
      <c r="C31" s="27" t="n">
        <f aca="false">C28+C29+C30</f>
        <v>111570</v>
      </c>
      <c r="D31" s="27" t="n">
        <f aca="false">D28+D29+D30</f>
        <v>256710</v>
      </c>
      <c r="E31" s="34" t="n">
        <f aca="false">IFERROR((D28+D29+D30)/(C28+C29+C30)-1,0)</f>
        <v>1.30088733530519</v>
      </c>
    </row>
    <row r="33" customFormat="false" ht="19.5" hidden="false" customHeight="true" outlineLevel="0" collapsed="false">
      <c r="A33" s="4" t="s">
        <v>76</v>
      </c>
      <c r="B33" s="4"/>
      <c r="C33" s="4"/>
      <c r="D33" s="4"/>
      <c r="E33" s="4"/>
    </row>
    <row r="34" customFormat="false" ht="18" hidden="false" customHeight="true" outlineLevel="0" collapsed="false">
      <c r="A34" s="5" t="s">
        <v>104</v>
      </c>
      <c r="B34" s="28" t="n">
        <f aca="false">Hypothèses!B32*12</f>
        <v>26100</v>
      </c>
      <c r="C34" s="28" t="n">
        <f aca="false">Hypothèses!B32*12</f>
        <v>26100</v>
      </c>
      <c r="D34" s="28" t="n">
        <f aca="false">Hypothèses!B32*12</f>
        <v>26100</v>
      </c>
      <c r="E34" s="34" t="n">
        <f aca="false">IFERROR((Hypothèses!B32*12)/(Hypothèses!B32*12)-1,0)</f>
        <v>0</v>
      </c>
    </row>
    <row r="35" customFormat="false" ht="18" hidden="false" customHeight="true" outlineLevel="0" collapsed="false">
      <c r="A35" s="5" t="s">
        <v>105</v>
      </c>
      <c r="B35" s="35" t="n">
        <f aca="false">(B8+B9+B10)*100</f>
        <v>600</v>
      </c>
      <c r="C35" s="35" t="n">
        <f aca="false">(C8+C9+C10)*100</f>
        <v>1500</v>
      </c>
      <c r="D35" s="35" t="n">
        <f aca="false">(D8+D9+D10)*100</f>
        <v>5000</v>
      </c>
      <c r="E35" s="34" t="n">
        <f aca="false">IFERROR((D35-C35)/ABS(C35),0)</f>
        <v>2.33333333333333</v>
      </c>
    </row>
    <row r="36" customFormat="false" ht="18" hidden="false" customHeight="true" outlineLevel="0" collapsed="false">
      <c r="A36" s="22" t="s">
        <v>106</v>
      </c>
      <c r="B36" s="10" t="n">
        <f aca="false">B34+B35</f>
        <v>26700</v>
      </c>
      <c r="C36" s="10" t="n">
        <f aca="false">C34+C35</f>
        <v>27600</v>
      </c>
      <c r="D36" s="10" t="n">
        <f aca="false">D34+D35</f>
        <v>31100</v>
      </c>
      <c r="E36" s="34" t="n">
        <f aca="false">IFERROR((D34+D35)/(C34+C35)-1,0)</f>
        <v>0.126811594202898</v>
      </c>
    </row>
    <row r="38" customFormat="false" ht="19.5" hidden="false" customHeight="true" outlineLevel="0" collapsed="false">
      <c r="A38" s="4" t="s">
        <v>78</v>
      </c>
      <c r="B38" s="4"/>
      <c r="C38" s="4"/>
      <c r="D38" s="4"/>
      <c r="E38" s="4"/>
    </row>
    <row r="39" customFormat="false" ht="18" hidden="false" customHeight="true" outlineLevel="0" collapsed="false">
      <c r="A39" s="22" t="s">
        <v>79</v>
      </c>
      <c r="B39" s="36" t="n">
        <f aca="false">B31-B36</f>
        <v>26220</v>
      </c>
      <c r="C39" s="36" t="n">
        <f aca="false">C31-C36</f>
        <v>83970</v>
      </c>
      <c r="D39" s="36" t="n">
        <f aca="false">D31-D36</f>
        <v>225610</v>
      </c>
      <c r="E39" s="34" t="n">
        <f aca="false">IFERROR((D31-D36)/(C31-C36)-1,0)</f>
        <v>1.68679290222699</v>
      </c>
    </row>
    <row r="40" customFormat="false" ht="18" hidden="false" customHeight="true" outlineLevel="0" collapsed="false">
      <c r="A40" s="22" t="s">
        <v>107</v>
      </c>
      <c r="B40" s="30" t="n">
        <f aca="false">IFERROR(B39/B31,0)</f>
        <v>0.49546485260771</v>
      </c>
      <c r="C40" s="30" t="n">
        <f aca="false">IFERROR(C39/C31,0)</f>
        <v>0.752621672492606</v>
      </c>
      <c r="D40" s="30" t="n">
        <f aca="false">IFERROR(D39/D31,0)</f>
        <v>0.878851622453352</v>
      </c>
      <c r="E40" s="34" t="n">
        <f aca="false">IFERROR((IFERROR(D39/D31,0))/(IFERROR(C39/C31,0))-1,0)</f>
        <v>0.167720322938198</v>
      </c>
    </row>
    <row r="41" customFormat="false" ht="18" hidden="false" customHeight="true" outlineLevel="0" collapsed="false">
      <c r="A41" s="5" t="s">
        <v>108</v>
      </c>
      <c r="B41" s="37" t="n">
        <f aca="false">IFERROR(B15/B31,0)</f>
        <v>0.263038548752834</v>
      </c>
      <c r="C41" s="37" t="n">
        <f aca="false">IFERROR(C15/C31,0)</f>
        <v>0.334498521107825</v>
      </c>
      <c r="D41" s="37" t="n">
        <f aca="false">IFERROR(D15/D31,0)</f>
        <v>0.471193175178217</v>
      </c>
      <c r="E41" s="34" t="n">
        <f aca="false">IFERROR((IFERROR(D15/D31,0))/(IFERROR(C15/C31,0))-1,0)</f>
        <v>0.408655481099508</v>
      </c>
    </row>
    <row r="43" customFormat="false" ht="36" hidden="false" customHeight="true" outlineLevel="0" collapsed="false">
      <c r="A43" s="31" t="s">
        <v>109</v>
      </c>
      <c r="B43" s="31"/>
      <c r="C43" s="31"/>
      <c r="D43" s="31"/>
      <c r="E43" s="31"/>
    </row>
  </sheetData>
  <mergeCells count="10">
    <mergeCell ref="A1:E1"/>
    <mergeCell ref="A2:E2"/>
    <mergeCell ref="A7:E7"/>
    <mergeCell ref="A13:E13"/>
    <mergeCell ref="A17:E17"/>
    <mergeCell ref="A23:E23"/>
    <mergeCell ref="A27:E27"/>
    <mergeCell ref="A33:E33"/>
    <mergeCell ref="A38:E38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30"/>
  </cols>
  <sheetData>
    <row r="1" customFormat="false" ht="39.75" hidden="false" customHeight="true" outlineLevel="0" collapsed="false">
      <c r="A1" s="2" t="s">
        <v>110</v>
      </c>
      <c r="B1" s="2"/>
      <c r="C1" s="2"/>
      <c r="D1" s="2"/>
    </row>
    <row r="2" customFormat="false" ht="13.5" hidden="false" customHeight="true" outlineLevel="0" collapsed="false">
      <c r="A2" s="3" t="s">
        <v>111</v>
      </c>
      <c r="B2" s="3"/>
      <c r="C2" s="3"/>
      <c r="D2" s="3"/>
    </row>
    <row r="4" customFormat="false" ht="21.75" hidden="false" customHeight="true" outlineLevel="0" collapsed="false">
      <c r="A4" s="38" t="s">
        <v>112</v>
      </c>
      <c r="B4" s="38"/>
      <c r="C4" s="38"/>
      <c r="D4" s="38"/>
    </row>
    <row r="5" customFormat="false" ht="18" hidden="false" customHeight="true" outlineLevel="0" collapsed="false">
      <c r="A5" s="39" t="s">
        <v>113</v>
      </c>
      <c r="B5" s="39" t="s">
        <v>114</v>
      </c>
      <c r="C5" s="39" t="s">
        <v>115</v>
      </c>
      <c r="D5" s="39" t="s">
        <v>116</v>
      </c>
    </row>
    <row r="6" customFormat="false" ht="19.5" hidden="false" customHeight="true" outlineLevel="0" collapsed="false">
      <c r="A6" s="40" t="s">
        <v>3</v>
      </c>
      <c r="B6" s="41" t="s">
        <v>117</v>
      </c>
      <c r="C6" s="41" t="s">
        <v>118</v>
      </c>
      <c r="D6" s="40" t="s">
        <v>119</v>
      </c>
    </row>
    <row r="7" customFormat="false" ht="19.5" hidden="false" customHeight="true" outlineLevel="0" collapsed="false">
      <c r="A7" s="40" t="s">
        <v>120</v>
      </c>
      <c r="B7" s="42" t="s">
        <v>121</v>
      </c>
      <c r="C7" s="41" t="s">
        <v>122</v>
      </c>
      <c r="D7" s="40" t="s">
        <v>123</v>
      </c>
    </row>
    <row r="8" customFormat="false" ht="19.5" hidden="false" customHeight="true" outlineLevel="0" collapsed="false">
      <c r="A8" s="40" t="s">
        <v>8</v>
      </c>
      <c r="B8" s="41" t="s">
        <v>124</v>
      </c>
      <c r="C8" s="41" t="s">
        <v>125</v>
      </c>
      <c r="D8" s="40" t="s">
        <v>126</v>
      </c>
    </row>
    <row r="10" customFormat="false" ht="21.75" hidden="false" customHeight="true" outlineLevel="0" collapsed="false">
      <c r="A10" s="38" t="s">
        <v>10</v>
      </c>
      <c r="B10" s="38"/>
      <c r="C10" s="38"/>
      <c r="D10" s="38"/>
    </row>
    <row r="11" customFormat="false" ht="15" hidden="false" customHeight="true" outlineLevel="0" collapsed="false">
      <c r="A11" s="39" t="s">
        <v>127</v>
      </c>
      <c r="B11" s="39" t="s">
        <v>128</v>
      </c>
      <c r="C11" s="39" t="s">
        <v>129</v>
      </c>
      <c r="D11" s="39" t="s">
        <v>130</v>
      </c>
    </row>
    <row r="12" customFormat="false" ht="19.5" hidden="false" customHeight="true" outlineLevel="0" collapsed="false">
      <c r="A12" s="40" t="s">
        <v>131</v>
      </c>
      <c r="B12" s="41" t="s">
        <v>132</v>
      </c>
      <c r="C12" s="41" t="s">
        <v>133</v>
      </c>
      <c r="D12" s="40" t="s">
        <v>134</v>
      </c>
    </row>
    <row r="13" customFormat="false" ht="19.5" hidden="false" customHeight="true" outlineLevel="0" collapsed="false">
      <c r="A13" s="40" t="s">
        <v>135</v>
      </c>
      <c r="B13" s="41" t="s">
        <v>136</v>
      </c>
      <c r="C13" s="41" t="s">
        <v>137</v>
      </c>
      <c r="D13" s="40" t="s">
        <v>138</v>
      </c>
    </row>
    <row r="14" customFormat="false" ht="19.5" hidden="false" customHeight="true" outlineLevel="0" collapsed="false">
      <c r="A14" s="40" t="s">
        <v>139</v>
      </c>
      <c r="B14" s="41" t="s">
        <v>140</v>
      </c>
      <c r="C14" s="41" t="s">
        <v>141</v>
      </c>
      <c r="D14" s="40" t="s">
        <v>142</v>
      </c>
    </row>
    <row r="15" customFormat="false" ht="15.75" hidden="false" customHeight="true" outlineLevel="0" collapsed="false">
      <c r="A15" s="43" t="s">
        <v>143</v>
      </c>
      <c r="B15" s="43"/>
      <c r="C15" s="43"/>
      <c r="D15" s="43"/>
    </row>
    <row r="17" customFormat="false" ht="21.75" hidden="false" customHeight="true" outlineLevel="0" collapsed="false">
      <c r="A17" s="38" t="s">
        <v>18</v>
      </c>
      <c r="B17" s="38"/>
      <c r="C17" s="38"/>
      <c r="D17" s="38"/>
    </row>
    <row r="18" customFormat="false" ht="19.5" hidden="false" customHeight="true" outlineLevel="0" collapsed="false">
      <c r="A18" s="40" t="s">
        <v>19</v>
      </c>
      <c r="B18" s="41" t="s">
        <v>144</v>
      </c>
      <c r="C18" s="41" t="s">
        <v>145</v>
      </c>
      <c r="D18" s="40" t="s">
        <v>146</v>
      </c>
    </row>
    <row r="20" customFormat="false" ht="39.75" hidden="false" customHeight="true" outlineLevel="0" collapsed="false">
      <c r="A20" s="31" t="s">
        <v>147</v>
      </c>
      <c r="B20" s="31"/>
      <c r="C20" s="31"/>
      <c r="D20" s="31"/>
    </row>
  </sheetData>
  <mergeCells count="7">
    <mergeCell ref="A1:D1"/>
    <mergeCell ref="A2:D2"/>
    <mergeCell ref="A4:D4"/>
    <mergeCell ref="A10:D10"/>
    <mergeCell ref="A15:D15"/>
    <mergeCell ref="A17:D17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2026-05-19T11:20:48Z</dcterms:created>
  <dc:creator>openpyxl</dc:creator>
  <dc:description/>
  <dc:language>en-US</dc:language>
  <cp:lastModifiedBy/>
  <dcterms:modified xsi:type="dcterms:W3CDTF">2026-05-19T11:21:13Z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