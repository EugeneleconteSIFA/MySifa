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8_{8EE942E3-8F26-434D-BBB1-2C037704A82A}" xr6:coauthVersionLast="47" xr6:coauthVersionMax="47" xr10:uidLastSave="{00000000-0000-0000-0000-000000000000}"/>
  <bookViews>
    <workbookView xWindow="-120" yWindow="-120" windowWidth="51840" windowHeight="21120" xr2:uid="{07119EAC-0E53-4C8B-BBD8-CC8F6418C9D1}"/>
  </bookViews>
  <sheets>
    <sheet name="Parametres" sheetId="2" r:id="rId1"/>
    <sheet name="Base_matières" sheetId="1" r:id="rId2"/>
  </sheets>
  <definedNames>
    <definedName name="MmExcelLinker_8368C8B8_2491_440F_8D31_BFFF1753CA9A">Base_matières!#REF!</definedName>
    <definedName name="MmExcelLinker_E0A0798F_30E1_4931_84BD_B4AB4D3F1999">Parametres!$A$81:$X$81</definedName>
    <definedName name="Prix_frontal_au_m²">Base_matières!#REF!</definedName>
    <definedName name="_xlnm.Print_Area" localSheetId="1">Base_matières!$A$1:$J$59</definedName>
    <definedName name="_xlnm.Print_Area" localSheetId="0">Parametres!$A$2:$AA$92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4" i="2" l="1"/>
  <c r="L93" i="2"/>
  <c r="L92" i="2"/>
  <c r="U93" i="2"/>
  <c r="U94" i="2"/>
  <c r="U92" i="2"/>
  <c r="L91" i="2"/>
  <c r="U91" i="2"/>
  <c r="L88" i="2"/>
  <c r="L89" i="2"/>
  <c r="L90" i="2"/>
  <c r="L87" i="2"/>
  <c r="U88" i="2"/>
  <c r="U89" i="2"/>
  <c r="U90" i="2"/>
  <c r="U87" i="2"/>
  <c r="T94" i="2"/>
  <c r="T88" i="2"/>
  <c r="T89" i="2"/>
  <c r="T90" i="2"/>
  <c r="T91" i="2"/>
  <c r="T92" i="2"/>
  <c r="T93" i="2"/>
  <c r="T87" i="2"/>
  <c r="H23" i="2"/>
  <c r="H36" i="2"/>
  <c r="H30" i="2"/>
  <c r="H29" i="2"/>
  <c r="H31" i="2"/>
  <c r="H28" i="2"/>
  <c r="T74" i="2"/>
  <c r="L74" i="2" s="1"/>
  <c r="H74" i="2" s="1"/>
  <c r="J74" i="2"/>
  <c r="F74" i="2" s="1"/>
  <c r="I241" i="1" a="1"/>
  <c r="I241" i="1" s="1"/>
  <c r="I240" i="1" a="1"/>
  <c r="I240" i="1" s="1"/>
  <c r="I239" i="1" a="1"/>
  <c r="I239" i="1" s="1"/>
  <c r="I238" i="1" a="1"/>
  <c r="I238" i="1" s="1"/>
  <c r="I237" i="1" a="1"/>
  <c r="I237" i="1" s="1"/>
  <c r="I236" i="1" a="1"/>
  <c r="I236" i="1" s="1"/>
  <c r="I235" i="1" a="1"/>
  <c r="I235" i="1" s="1"/>
  <c r="I234" i="1" a="1"/>
  <c r="I234" i="1" s="1"/>
  <c r="I233" i="1" a="1"/>
  <c r="I233" i="1" s="1"/>
  <c r="I232" i="1" a="1"/>
  <c r="I232" i="1" s="1"/>
  <c r="I231" i="1" a="1"/>
  <c r="I231" i="1" s="1"/>
  <c r="I230" i="1" a="1"/>
  <c r="I230" i="1" s="1"/>
  <c r="I229" i="1" a="1"/>
  <c r="I229" i="1" s="1"/>
  <c r="I228" i="1" a="1"/>
  <c r="I228" i="1" s="1"/>
  <c r="I227" i="1" a="1"/>
  <c r="I227" i="1" s="1"/>
  <c r="I226" i="1" a="1"/>
  <c r="I226" i="1" s="1"/>
  <c r="I225" i="1" a="1"/>
  <c r="I225" i="1" s="1"/>
  <c r="I224" i="1" a="1"/>
  <c r="I224" i="1" s="1"/>
  <c r="I223" i="1" a="1"/>
  <c r="I223" i="1" s="1"/>
  <c r="I222" i="1" a="1"/>
  <c r="I222" i="1" s="1"/>
  <c r="I221" i="1" a="1"/>
  <c r="I221" i="1" s="1"/>
  <c r="I220" i="1" a="1"/>
  <c r="I220" i="1" s="1"/>
  <c r="I219" i="1" a="1"/>
  <c r="I219" i="1" s="1"/>
  <c r="I218" i="1" a="1"/>
  <c r="I218" i="1" s="1"/>
  <c r="I217" i="1" a="1"/>
  <c r="I217" i="1" s="1"/>
  <c r="I216" i="1" a="1"/>
  <c r="I216" i="1" s="1"/>
  <c r="I215" i="1" a="1"/>
  <c r="I215" i="1" s="1"/>
  <c r="I214" i="1" a="1"/>
  <c r="I214" i="1" s="1"/>
  <c r="I213" i="1" a="1"/>
  <c r="I213" i="1" s="1"/>
  <c r="I212" i="1" a="1"/>
  <c r="I212" i="1" s="1"/>
  <c r="I211" i="1" a="1"/>
  <c r="I211" i="1" s="1"/>
  <c r="I210" i="1" a="1"/>
  <c r="I210" i="1" s="1"/>
  <c r="I209" i="1" a="1"/>
  <c r="I209" i="1" s="1"/>
  <c r="I208" i="1" a="1"/>
  <c r="I208" i="1" s="1"/>
  <c r="I207" i="1" a="1"/>
  <c r="I207" i="1" s="1"/>
  <c r="I206" i="1" a="1"/>
  <c r="I206" i="1" s="1"/>
  <c r="I205" i="1" a="1"/>
  <c r="I205" i="1" s="1"/>
  <c r="I204" i="1" a="1"/>
  <c r="I204" i="1" s="1"/>
  <c r="I203" i="1" a="1"/>
  <c r="I203" i="1" s="1"/>
  <c r="I202" i="1" a="1"/>
  <c r="I202" i="1" s="1"/>
  <c r="I201" i="1" a="1"/>
  <c r="I201" i="1" s="1"/>
  <c r="I200" i="1" a="1"/>
  <c r="I200" i="1" s="1"/>
  <c r="I199" i="1" a="1"/>
  <c r="I199" i="1" s="1"/>
  <c r="I198" i="1" a="1"/>
  <c r="I198" i="1" s="1"/>
  <c r="I197" i="1" a="1"/>
  <c r="I197" i="1" s="1"/>
  <c r="I196" i="1" a="1"/>
  <c r="I196" i="1" s="1"/>
  <c r="I195" i="1" a="1"/>
  <c r="I195" i="1" s="1"/>
  <c r="I194" i="1" a="1"/>
  <c r="I194" i="1" s="1"/>
  <c r="I193" i="1" a="1"/>
  <c r="I193" i="1" s="1"/>
  <c r="I192" i="1" a="1"/>
  <c r="I192" i="1" s="1"/>
  <c r="I191" i="1" a="1"/>
  <c r="I191" i="1" s="1"/>
  <c r="I190" i="1" a="1"/>
  <c r="I190" i="1" s="1"/>
  <c r="I189" i="1" a="1"/>
  <c r="I189" i="1" s="1"/>
  <c r="I188" i="1" a="1"/>
  <c r="I188" i="1" s="1"/>
  <c r="I187" i="1" a="1"/>
  <c r="I187" i="1" s="1"/>
  <c r="I186" i="1" a="1"/>
  <c r="I186" i="1" s="1"/>
  <c r="I185" i="1" a="1"/>
  <c r="I185" i="1" s="1"/>
  <c r="I184" i="1" a="1"/>
  <c r="I184" i="1" s="1"/>
  <c r="I183" i="1" a="1"/>
  <c r="I183" i="1" s="1"/>
  <c r="I182" i="1" a="1"/>
  <c r="I182" i="1" s="1"/>
  <c r="I181" i="1" a="1"/>
  <c r="I181" i="1" s="1"/>
  <c r="I180" i="1" a="1"/>
  <c r="I180" i="1" s="1"/>
  <c r="I179" i="1" a="1"/>
  <c r="I179" i="1" s="1"/>
  <c r="I178" i="1" a="1"/>
  <c r="I178" i="1" s="1"/>
  <c r="I177" i="1" a="1"/>
  <c r="I177" i="1" s="1"/>
  <c r="I176" i="1" a="1"/>
  <c r="I176" i="1" s="1"/>
  <c r="I175" i="1" a="1"/>
  <c r="I175" i="1" s="1"/>
  <c r="I174" i="1" a="1"/>
  <c r="I174" i="1" s="1"/>
  <c r="I173" i="1" a="1"/>
  <c r="I173" i="1" s="1"/>
  <c r="I172" i="1" a="1"/>
  <c r="I172" i="1" s="1"/>
  <c r="I171" i="1" a="1"/>
  <c r="I171" i="1" s="1"/>
  <c r="I170" i="1" a="1"/>
  <c r="I170" i="1" s="1"/>
  <c r="I169" i="1" a="1"/>
  <c r="I169" i="1" s="1"/>
  <c r="I168" i="1" a="1"/>
  <c r="I168" i="1" s="1"/>
  <c r="I167" i="1" a="1"/>
  <c r="I167" i="1" s="1"/>
  <c r="I166" i="1" a="1"/>
  <c r="I166" i="1" s="1"/>
  <c r="I165" i="1" a="1"/>
  <c r="I165" i="1" s="1"/>
  <c r="I164" i="1" a="1"/>
  <c r="I164" i="1" s="1"/>
  <c r="I163" i="1" a="1"/>
  <c r="I163" i="1" s="1"/>
  <c r="I162" i="1" a="1"/>
  <c r="I162" i="1" s="1"/>
  <c r="I161" i="1" a="1"/>
  <c r="I161" i="1" s="1"/>
  <c r="I160" i="1" a="1"/>
  <c r="I160" i="1" s="1"/>
  <c r="I159" i="1" a="1"/>
  <c r="I159" i="1" s="1"/>
  <c r="I158" i="1" a="1"/>
  <c r="I158" i="1" s="1"/>
  <c r="I157" i="1" a="1"/>
  <c r="I157" i="1" s="1"/>
  <c r="I156" i="1" a="1"/>
  <c r="I156" i="1" s="1"/>
  <c r="I155" i="1" a="1"/>
  <c r="I155" i="1" s="1"/>
  <c r="I154" i="1" a="1"/>
  <c r="I154" i="1" s="1"/>
  <c r="I153" i="1" a="1"/>
  <c r="I153" i="1" s="1"/>
  <c r="I152" i="1" a="1"/>
  <c r="I152" i="1" s="1"/>
  <c r="I151" i="1" a="1"/>
  <c r="I151" i="1" s="1"/>
  <c r="I150" i="1" a="1"/>
  <c r="I150" i="1" s="1"/>
  <c r="I149" i="1" a="1"/>
  <c r="I149" i="1" s="1"/>
  <c r="I148" i="1" a="1"/>
  <c r="I148" i="1" s="1"/>
  <c r="I147" i="1" a="1"/>
  <c r="I147" i="1" s="1"/>
  <c r="I146" i="1" a="1"/>
  <c r="I146" i="1" s="1"/>
  <c r="I145" i="1" a="1"/>
  <c r="I145" i="1" s="1"/>
  <c r="I144" i="1" a="1"/>
  <c r="I144" i="1" s="1"/>
  <c r="I143" i="1" a="1"/>
  <c r="I143" i="1" s="1"/>
  <c r="I142" i="1" a="1"/>
  <c r="I142" i="1" s="1"/>
  <c r="I141" i="1" a="1"/>
  <c r="I141" i="1" s="1"/>
  <c r="I140" i="1" a="1"/>
  <c r="I140" i="1" s="1"/>
  <c r="I139" i="1" a="1"/>
  <c r="I139" i="1" s="1"/>
  <c r="I138" i="1" a="1"/>
  <c r="I138" i="1" s="1"/>
  <c r="I137" i="1" a="1"/>
  <c r="I137" i="1" s="1"/>
  <c r="I136" i="1" a="1"/>
  <c r="I136" i="1" s="1"/>
  <c r="I135" i="1" a="1"/>
  <c r="I135" i="1" s="1"/>
  <c r="I134" i="1" a="1"/>
  <c r="I134" i="1" s="1"/>
  <c r="I133" i="1" a="1"/>
  <c r="I133" i="1" s="1"/>
  <c r="I132" i="1" a="1"/>
  <c r="I132" i="1" s="1"/>
  <c r="I131" i="1" a="1"/>
  <c r="I131" i="1" s="1"/>
  <c r="I130" i="1" a="1"/>
  <c r="I130" i="1" s="1"/>
  <c r="I129" i="1" a="1"/>
  <c r="I129" i="1" s="1"/>
  <c r="I128" i="1" a="1"/>
  <c r="I128" i="1" s="1"/>
  <c r="I127" i="1" a="1"/>
  <c r="I127" i="1" s="1"/>
  <c r="I126" i="1" a="1"/>
  <c r="I126" i="1" s="1"/>
  <c r="I125" i="1" a="1"/>
  <c r="I125" i="1" s="1"/>
  <c r="I124" i="1" a="1"/>
  <c r="I124" i="1" s="1"/>
  <c r="I123" i="1" a="1"/>
  <c r="I123" i="1" s="1"/>
  <c r="I122" i="1" a="1"/>
  <c r="I122" i="1" s="1"/>
  <c r="I121" i="1" a="1"/>
  <c r="I121" i="1" s="1"/>
  <c r="I120" i="1" a="1"/>
  <c r="I120" i="1" s="1"/>
  <c r="I119" i="1" a="1"/>
  <c r="I119" i="1" s="1"/>
  <c r="I118" i="1" a="1"/>
  <c r="I118" i="1" s="1"/>
  <c r="I117" i="1" a="1"/>
  <c r="I117" i="1" s="1"/>
  <c r="I116" i="1" a="1"/>
  <c r="I116" i="1" s="1"/>
  <c r="I115" i="1" a="1"/>
  <c r="I115" i="1" s="1"/>
  <c r="I114" i="1" a="1"/>
  <c r="I114" i="1" s="1"/>
  <c r="I113" i="1" a="1"/>
  <c r="I113" i="1" s="1"/>
  <c r="I112" i="1" a="1"/>
  <c r="I112" i="1" s="1"/>
  <c r="I111" i="1" a="1"/>
  <c r="I111" i="1" s="1"/>
  <c r="I110" i="1" a="1"/>
  <c r="I110" i="1" s="1"/>
  <c r="I109" i="1" a="1"/>
  <c r="I109" i="1" s="1"/>
  <c r="I108" i="1" a="1"/>
  <c r="I108" i="1" s="1"/>
  <c r="I107" i="1" a="1"/>
  <c r="I107" i="1" s="1"/>
  <c r="I106" i="1" a="1"/>
  <c r="I106" i="1" s="1"/>
  <c r="I105" i="1" a="1"/>
  <c r="I105" i="1" s="1"/>
  <c r="I104" i="1" a="1"/>
  <c r="I104" i="1" s="1"/>
  <c r="I103" i="1" a="1"/>
  <c r="I103" i="1" s="1"/>
  <c r="I102" i="1" a="1"/>
  <c r="I102" i="1" s="1"/>
  <c r="I101" i="1" a="1"/>
  <c r="I101" i="1" s="1"/>
  <c r="I100" i="1" a="1"/>
  <c r="I100" i="1" s="1"/>
  <c r="I99" i="1" a="1"/>
  <c r="I99" i="1" s="1"/>
  <c r="I98" i="1" a="1"/>
  <c r="I98" i="1" s="1"/>
  <c r="I97" i="1" a="1"/>
  <c r="I97" i="1" s="1"/>
  <c r="I96" i="1" a="1"/>
  <c r="I96" i="1" s="1"/>
  <c r="I95" i="1" a="1"/>
  <c r="I95" i="1" s="1"/>
  <c r="I94" i="1" a="1"/>
  <c r="I94" i="1" s="1"/>
  <c r="I93" i="1" a="1"/>
  <c r="I93" i="1" s="1"/>
  <c r="I92" i="1" a="1"/>
  <c r="I92" i="1" s="1"/>
  <c r="I91" i="1" a="1"/>
  <c r="I91" i="1" s="1"/>
  <c r="I90" i="1" a="1"/>
  <c r="I90" i="1" s="1"/>
  <c r="I89" i="1" a="1"/>
  <c r="I89" i="1" s="1"/>
  <c r="I88" i="1" a="1"/>
  <c r="I88" i="1" s="1"/>
  <c r="I87" i="1" a="1"/>
  <c r="I87" i="1" s="1"/>
  <c r="I86" i="1" a="1"/>
  <c r="I86" i="1" s="1"/>
  <c r="I85" i="1" a="1"/>
  <c r="I85" i="1" s="1"/>
  <c r="I84" i="1" a="1"/>
  <c r="I84" i="1" s="1"/>
  <c r="I52" i="1" a="1"/>
  <c r="I52" i="1" s="1"/>
  <c r="I49" i="1" a="1"/>
  <c r="I49" i="1" s="1"/>
  <c r="I46" i="1" a="1"/>
  <c r="I46" i="1" s="1"/>
  <c r="I45" i="1" a="1"/>
  <c r="I45" i="1" s="1"/>
  <c r="I44" i="1" a="1"/>
  <c r="I44" i="1" s="1"/>
  <c r="I43" i="1" a="1"/>
  <c r="I43" i="1" s="1"/>
  <c r="I38" i="1" a="1"/>
  <c r="I38" i="1" s="1"/>
  <c r="I35" i="1" a="1"/>
  <c r="I35" i="1" s="1"/>
  <c r="I32" i="1" a="1"/>
  <c r="I32" i="1" s="1"/>
  <c r="I29" i="1" a="1"/>
  <c r="I29" i="1" s="1"/>
  <c r="I27" i="1" a="1"/>
  <c r="I27" i="1" s="1"/>
  <c r="I20" i="1" a="1"/>
  <c r="I20" i="1" s="1"/>
  <c r="I18" i="1" a="1"/>
  <c r="I18" i="1" s="1"/>
  <c r="I17" i="1" a="1"/>
  <c r="I17" i="1" s="1"/>
  <c r="I9" i="1" a="1"/>
  <c r="I9" i="1" s="1"/>
  <c r="I6" i="1" a="1"/>
  <c r="I6" i="1" s="1"/>
  <c r="H94" i="2"/>
  <c r="H93" i="2"/>
  <c r="H92" i="2"/>
  <c r="H91" i="2"/>
  <c r="H90" i="2"/>
  <c r="H89" i="2"/>
  <c r="H88" i="2"/>
  <c r="H87" i="2"/>
  <c r="T50" i="2"/>
  <c r="L50" i="2" s="1"/>
  <c r="H50" i="2" s="1"/>
  <c r="T53" i="2"/>
  <c r="L53" i="2" s="1"/>
  <c r="H53" i="2" s="1"/>
  <c r="H20" i="2"/>
  <c r="H21" i="2"/>
  <c r="H22" i="2"/>
  <c r="H25" i="2"/>
  <c r="H26" i="2"/>
  <c r="H27" i="2"/>
  <c r="H19" i="2"/>
  <c r="T12" i="2"/>
  <c r="L12" i="2" s="1"/>
  <c r="H12" i="2" s="1"/>
  <c r="B28" i="1"/>
  <c r="B4" i="1"/>
  <c r="B47" i="1"/>
  <c r="J56" i="1"/>
  <c r="B56" i="1"/>
  <c r="B55" i="1"/>
  <c r="B54" i="1"/>
  <c r="B53" i="1"/>
  <c r="B51" i="1"/>
  <c r="B50" i="1"/>
  <c r="B48" i="1"/>
  <c r="B42" i="1"/>
  <c r="B41" i="1"/>
  <c r="B40" i="1"/>
  <c r="B39" i="1"/>
  <c r="B37" i="1"/>
  <c r="B36" i="1"/>
  <c r="B34" i="1"/>
  <c r="B33" i="1"/>
  <c r="B22" i="1"/>
  <c r="B21" i="1"/>
  <c r="B13" i="1"/>
  <c r="H16" i="2" l="1"/>
  <c r="J94" i="1"/>
  <c r="T56" i="2"/>
  <c r="T58" i="2"/>
  <c r="L58" i="2" s="1"/>
  <c r="T54" i="2"/>
  <c r="H35" i="2"/>
  <c r="H34" i="2"/>
  <c r="H42" i="2"/>
  <c r="I19" i="1" s="1" a="1"/>
  <c r="I19" i="1" s="1"/>
  <c r="B113" i="1"/>
  <c r="B24" i="1"/>
  <c r="B11" i="1"/>
  <c r="T13" i="2"/>
  <c r="T48" i="2"/>
  <c r="B65" i="1"/>
  <c r="B7" i="1"/>
  <c r="B5" i="1"/>
  <c r="B19" i="1"/>
  <c r="B75" i="1"/>
  <c r="B62" i="1"/>
  <c r="H68" i="2"/>
  <c r="H6" i="2"/>
  <c r="H7" i="2"/>
  <c r="H15" i="2"/>
  <c r="H18" i="2"/>
  <c r="H38" i="2"/>
  <c r="H67" i="2"/>
  <c r="H69" i="2"/>
  <c r="B8" i="1"/>
  <c r="B10" i="1"/>
  <c r="B12" i="1"/>
  <c r="B15" i="1"/>
  <c r="B57" i="1"/>
  <c r="B58" i="1"/>
  <c r="B66" i="1"/>
  <c r="B67" i="1"/>
  <c r="B68" i="1"/>
  <c r="B70" i="1"/>
  <c r="B71" i="1"/>
  <c r="B72" i="1"/>
  <c r="B73" i="1"/>
  <c r="B74" i="1"/>
  <c r="B78" i="1"/>
  <c r="B79" i="1"/>
  <c r="B80" i="1"/>
  <c r="B81" i="1"/>
  <c r="B82" i="1"/>
  <c r="B83" i="1"/>
  <c r="B102" i="1"/>
  <c r="B103" i="1"/>
  <c r="I62" i="1" l="1" a="1"/>
  <c r="I62" i="1" s="1"/>
  <c r="J62" i="1" s="1"/>
  <c r="I22" i="1" a="1"/>
  <c r="I22" i="1" s="1"/>
  <c r="J22" i="1" s="1"/>
  <c r="I37" i="1" a="1"/>
  <c r="I37" i="1" s="1"/>
  <c r="J37" i="1" s="1"/>
  <c r="I51" i="1" a="1"/>
  <c r="I51" i="1" s="1"/>
  <c r="J51" i="1" s="1"/>
  <c r="I8" i="1" a="1"/>
  <c r="I8" i="1" s="1"/>
  <c r="J8" i="1" s="1"/>
  <c r="I7" i="1" a="1"/>
  <c r="I7" i="1" s="1"/>
  <c r="J7" i="1" s="1"/>
  <c r="I21" i="1" a="1"/>
  <c r="I21" i="1" s="1"/>
  <c r="J21" i="1" s="1"/>
  <c r="I50" i="1" a="1"/>
  <c r="I50" i="1" s="1"/>
  <c r="I36" i="1" a="1"/>
  <c r="I36" i="1" s="1"/>
  <c r="J36" i="1" s="1"/>
  <c r="L48" i="2"/>
  <c r="H48" i="2" s="1"/>
  <c r="L13" i="2"/>
  <c r="H13" i="2" s="1"/>
  <c r="L54" i="2"/>
  <c r="H54" i="2" s="1"/>
  <c r="H58" i="2"/>
  <c r="L56" i="2"/>
  <c r="H56" i="2" s="1"/>
  <c r="J19" i="1"/>
  <c r="J103" i="1"/>
  <c r="J102" i="1"/>
  <c r="I58" i="1" l="1" a="1"/>
  <c r="I58" i="1" s="1"/>
  <c r="J58" i="1" s="1"/>
  <c r="I39" i="1" a="1"/>
  <c r="I39" i="1" s="1"/>
  <c r="J39" i="1" s="1"/>
  <c r="I53" i="1" a="1"/>
  <c r="I53" i="1" s="1"/>
  <c r="J53" i="1" s="1"/>
  <c r="I54" i="1" a="1"/>
  <c r="I54" i="1" s="1"/>
  <c r="J54" i="1" s="1"/>
  <c r="I13" i="1" a="1"/>
  <c r="I13" i="1" s="1"/>
  <c r="J13" i="1" s="1"/>
  <c r="I33" i="1" a="1"/>
  <c r="I33" i="1" s="1"/>
  <c r="I11" i="1" a="1"/>
  <c r="I11" i="1" s="1"/>
  <c r="J11" i="1" s="1"/>
  <c r="I47" i="1" a="1"/>
  <c r="I47" i="1" s="1"/>
  <c r="J47" i="1" s="1"/>
  <c r="I34" i="1" a="1"/>
  <c r="I34" i="1" s="1"/>
  <c r="I48" i="1" a="1"/>
  <c r="I48" i="1" s="1"/>
  <c r="J48" i="1" s="1"/>
  <c r="I10" i="1" a="1"/>
  <c r="I10" i="1" s="1"/>
  <c r="J10" i="1" s="1"/>
  <c r="I28" i="1" a="1"/>
  <c r="I28" i="1" s="1"/>
  <c r="J28" i="1" s="1"/>
  <c r="I5" i="1" a="1"/>
  <c r="I5" i="1" s="1"/>
  <c r="J5" i="1" s="1"/>
  <c r="I15" i="1" a="1"/>
  <c r="I15" i="1" s="1"/>
  <c r="J15" i="1" s="1"/>
  <c r="I24" i="1" a="1"/>
  <c r="I24" i="1" s="1"/>
  <c r="J24" i="1" s="1"/>
  <c r="I4" i="1" a="1"/>
  <c r="I4" i="1" s="1"/>
  <c r="J4" i="1" s="1"/>
  <c r="I40" i="1" a="1"/>
  <c r="I40" i="1" s="1"/>
  <c r="J40" i="1" s="1"/>
  <c r="J5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<sst xmlns="http://schemas.openxmlformats.org/spreadsheetml/2006/main" count="472" uniqueCount="194">
  <si>
    <t>Frontal</t>
  </si>
  <si>
    <t>Congélation</t>
  </si>
  <si>
    <t>Enlevable</t>
  </si>
  <si>
    <t>B</t>
  </si>
  <si>
    <t>H</t>
  </si>
  <si>
    <t>Permanent</t>
  </si>
  <si>
    <t>Adhésif</t>
  </si>
  <si>
    <t>Type</t>
  </si>
  <si>
    <t>ROTOFLEX</t>
  </si>
  <si>
    <t>COHESIO</t>
  </si>
  <si>
    <t>Permanent renforçé</t>
  </si>
  <si>
    <t>VELIN</t>
  </si>
  <si>
    <t>COUCHE</t>
  </si>
  <si>
    <t>Poids au m²</t>
  </si>
  <si>
    <t>PP</t>
  </si>
  <si>
    <t>Prix Matières Premières</t>
  </si>
  <si>
    <t>Désignation</t>
  </si>
  <si>
    <t>Evonik</t>
  </si>
  <si>
    <t>Bostik</t>
  </si>
  <si>
    <t>Fournisseur</t>
  </si>
  <si>
    <t xml:space="preserve">1- Silicone </t>
  </si>
  <si>
    <t>5- Adhésif congélation</t>
  </si>
  <si>
    <t>Itasa</t>
  </si>
  <si>
    <t>Mondi</t>
  </si>
  <si>
    <t>Kanzan</t>
  </si>
  <si>
    <t>UPM</t>
  </si>
  <si>
    <t>Sans silicone</t>
  </si>
  <si>
    <t>Sans Silicone</t>
  </si>
  <si>
    <t>sans silicone</t>
  </si>
  <si>
    <t>PP 60ZH247</t>
  </si>
  <si>
    <t>Jindal</t>
  </si>
  <si>
    <t>VB</t>
  </si>
  <si>
    <t>GLS</t>
  </si>
  <si>
    <t>S</t>
  </si>
  <si>
    <t>P</t>
  </si>
  <si>
    <t>E</t>
  </si>
  <si>
    <t>CO</t>
  </si>
  <si>
    <t>THS</t>
  </si>
  <si>
    <t>TP</t>
  </si>
  <si>
    <t>PPM</t>
  </si>
  <si>
    <t>Grammage</t>
  </si>
  <si>
    <t>THP</t>
  </si>
  <si>
    <t>Glassine</t>
  </si>
  <si>
    <t>Pneu</t>
  </si>
  <si>
    <t>2259/22</t>
  </si>
  <si>
    <t>Thermique protégé KLRB 46B bicolore</t>
  </si>
  <si>
    <t>Linerless</t>
  </si>
  <si>
    <t>Foliset 100 µ</t>
  </si>
  <si>
    <t>SGLN</t>
  </si>
  <si>
    <t>Sans Glassine</t>
  </si>
  <si>
    <t>Foliset 120 µ</t>
  </si>
  <si>
    <t>Burgo</t>
  </si>
  <si>
    <t xml:space="preserve"> </t>
  </si>
  <si>
    <t>Appellation</t>
  </si>
  <si>
    <t>EN</t>
  </si>
  <si>
    <t>VBS</t>
  </si>
  <si>
    <t>COS</t>
  </si>
  <si>
    <t>THES</t>
  </si>
  <si>
    <t>THEP</t>
  </si>
  <si>
    <t>PPB</t>
  </si>
  <si>
    <t>PP blanc</t>
  </si>
  <si>
    <t>2028/22</t>
  </si>
  <si>
    <t>Jaour</t>
  </si>
  <si>
    <t>Glassine 60 g siliconée /MONDI</t>
  </si>
  <si>
    <t>2021/19</t>
  </si>
  <si>
    <t>Guyenne</t>
  </si>
  <si>
    <t>2028/25</t>
  </si>
  <si>
    <t>Mosaico</t>
  </si>
  <si>
    <t>Chine</t>
  </si>
  <si>
    <t>2028/30</t>
  </si>
  <si>
    <t>1408/22</t>
  </si>
  <si>
    <t>THERMIQUE ECO</t>
  </si>
  <si>
    <t>THERMIQUE PRO</t>
  </si>
  <si>
    <t>2288/25</t>
  </si>
  <si>
    <t>Silicone Phoenix Release + azote</t>
  </si>
  <si>
    <t xml:space="preserve">Permanent </t>
  </si>
  <si>
    <t>Silicone + azote</t>
  </si>
  <si>
    <t>Phoenix</t>
  </si>
  <si>
    <t>Silicone Phoenix Release</t>
  </si>
  <si>
    <t>Glassine 58 g chinois</t>
  </si>
  <si>
    <t>PP mat 65LT545</t>
  </si>
  <si>
    <t>Taxes ou Gaz</t>
  </si>
  <si>
    <t xml:space="preserve">Velin fluo guyenne </t>
  </si>
  <si>
    <t>Eti Lux 80 g Burgo</t>
  </si>
  <si>
    <t>PP mat 70TR742</t>
  </si>
  <si>
    <r>
      <t xml:space="preserve">Glassine 58 g sil./Itasa </t>
    </r>
    <r>
      <rPr>
        <b/>
        <sz val="9"/>
        <color indexed="8"/>
        <rFont val="Open Sans"/>
        <family val="2"/>
      </rPr>
      <t>Prix en Baisse</t>
    </r>
  </si>
  <si>
    <r>
      <t xml:space="preserve">Thermique Eco KP 460 </t>
    </r>
    <r>
      <rPr>
        <b/>
        <sz val="9"/>
        <color indexed="8"/>
        <rFont val="Open Sans"/>
        <family val="2"/>
      </rPr>
      <t>Prix en Baisse</t>
    </r>
  </si>
  <si>
    <t>Rifo</t>
  </si>
  <si>
    <t>Foliset 120 µ Chine</t>
  </si>
  <si>
    <t>Glassine 58 g sil./Itasa Prix en Baisse</t>
  </si>
  <si>
    <t xml:space="preserve">PP mat 120µ </t>
  </si>
  <si>
    <t>PP mat 120µ Rifo</t>
  </si>
  <si>
    <t>PP 75 TH</t>
  </si>
  <si>
    <t xml:space="preserve">Guyenne </t>
  </si>
  <si>
    <t>Sunilabel fluo jaune (papier couché par 18.750 m²) - Laize : 510 mm</t>
  </si>
  <si>
    <t>Sunilabel fluo jaune (papier couché par 37.500 m²) - Laize : 510 mm</t>
  </si>
  <si>
    <t>Focus</t>
  </si>
  <si>
    <t>Velin Etiwell 68 g</t>
  </si>
  <si>
    <t>Conversion dollar - euro</t>
  </si>
  <si>
    <t>USD</t>
  </si>
  <si>
    <t xml:space="preserve"> Transport </t>
  </si>
  <si>
    <t xml:space="preserve">Prix </t>
  </si>
  <si>
    <t>Transport par 26,000 kg</t>
  </si>
  <si>
    <t>Poids</t>
  </si>
  <si>
    <t xml:space="preserve">Transport au kg </t>
  </si>
  <si>
    <t xml:space="preserve">Thermique Eco Chine Free </t>
  </si>
  <si>
    <t>Thermique Eco Chine Free lK</t>
  </si>
  <si>
    <t>Glassine 58 g chinois LK</t>
  </si>
  <si>
    <t xml:space="preserve">  </t>
  </si>
  <si>
    <t xml:space="preserve">Thermique Top Chine Free </t>
  </si>
  <si>
    <t>Thermique Top Chine Free lK</t>
  </si>
  <si>
    <t>PP 54 µ thermal</t>
  </si>
  <si>
    <t>2288/55</t>
  </si>
  <si>
    <t>2021/20</t>
  </si>
  <si>
    <t>Jet d'encre</t>
  </si>
  <si>
    <t>2028Y</t>
  </si>
  <si>
    <t>2028Y/19</t>
  </si>
  <si>
    <t>2028Y/25</t>
  </si>
  <si>
    <t xml:space="preserve">Taux de change </t>
  </si>
  <si>
    <t>Prix en EUROS
 par m²</t>
  </si>
  <si>
    <t>Prix en DOLLARS
au m²</t>
  </si>
  <si>
    <t>Rheno</t>
  </si>
  <si>
    <t>Jet d'encre mat 70 g/m² Rheno adhésif adhésif 908</t>
  </si>
  <si>
    <t>Thermique protégé 105 g</t>
  </si>
  <si>
    <t>Lecta</t>
  </si>
  <si>
    <t>G1101</t>
  </si>
  <si>
    <t>R1001</t>
  </si>
  <si>
    <t>Prix au Kg en USD</t>
  </si>
  <si>
    <t>R9501</t>
  </si>
  <si>
    <t>Prix au kg en USD</t>
  </si>
  <si>
    <t>ancien 0,72 € au 01/04/2026</t>
  </si>
  <si>
    <t>au 07/04/26 prix 2,36 €</t>
  </si>
  <si>
    <t>3- Adhésif enlevable</t>
  </si>
  <si>
    <t>2355/22</t>
  </si>
  <si>
    <t>5- Adhésif permanent</t>
  </si>
  <si>
    <t>5- Adhésif pneumatique</t>
  </si>
  <si>
    <t>6- Velin</t>
  </si>
  <si>
    <t>6- Couché</t>
  </si>
  <si>
    <t>7- Thermique Eco</t>
  </si>
  <si>
    <t>LKn</t>
  </si>
  <si>
    <t>Lkn</t>
  </si>
  <si>
    <r>
      <t>Thermique Protégé Chine</t>
    </r>
    <r>
      <rPr>
        <b/>
        <i/>
        <sz val="9"/>
        <color indexed="10"/>
        <rFont val="Open Sans"/>
        <family val="2"/>
      </rPr>
      <t xml:space="preserve"> Free Phenol </t>
    </r>
  </si>
  <si>
    <t>Silicone</t>
  </si>
  <si>
    <t>2028Y/22</t>
  </si>
  <si>
    <t>au 07/04/26</t>
  </si>
  <si>
    <t>Prix Ancien</t>
  </si>
  <si>
    <t>Meltavis</t>
  </si>
  <si>
    <t>2030/22</t>
  </si>
  <si>
    <r>
      <t xml:space="preserve">Glassine 58 g sil./Itasa </t>
    </r>
    <r>
      <rPr>
        <b/>
        <sz val="9"/>
        <color indexed="8"/>
        <rFont val="Open Sans"/>
        <family val="2"/>
      </rPr>
      <t>KS2 (E)</t>
    </r>
  </si>
  <si>
    <t>True color jet d'encre</t>
  </si>
  <si>
    <t>Thermique Top 95 gsm  Chine Free lK</t>
  </si>
  <si>
    <t>Themique  Eco permanent 2028Y likexin</t>
  </si>
  <si>
    <t>Thermique Protégé permanent 2028Y likexin</t>
  </si>
  <si>
    <t>Velin permanent 2028Y likexin</t>
  </si>
  <si>
    <t>ATTENTE SUR LES PRIX Ci-dessous</t>
  </si>
  <si>
    <t>Couché 115 grammes</t>
  </si>
  <si>
    <t>JET d'ENCRE</t>
  </si>
  <si>
    <t>1393299 - papier jet d'encre mat 70g</t>
  </si>
  <si>
    <t>15/04/206</t>
  </si>
  <si>
    <t>Glassine 58 g chinois SU</t>
  </si>
  <si>
    <t>Incidence dollar ou taxes</t>
  </si>
  <si>
    <t>Incidence dollar ou taxes import</t>
  </si>
  <si>
    <r>
      <t xml:space="preserve">Thermique Eco Chine </t>
    </r>
    <r>
      <rPr>
        <b/>
        <i/>
        <sz val="9"/>
        <color rgb="FFFF0000"/>
        <rFont val="Open Sans"/>
        <family val="2"/>
      </rPr>
      <t>Free PHENOL</t>
    </r>
  </si>
  <si>
    <t>8- Thermique Pro</t>
  </si>
  <si>
    <t>Self-adhesive jumbo roll</t>
  </si>
  <si>
    <t>R2441</t>
  </si>
  <si>
    <t>95µ Thermal Synthetic PP/Acrylic permanent/58g WG</t>
  </si>
  <si>
    <t>R1241P</t>
  </si>
  <si>
    <t>70g Direct Thermal ECO/JT-2028Y adhesive/58g Yellow glassine</t>
  </si>
  <si>
    <t>R1641</t>
  </si>
  <si>
    <t>70g Direct Thermal TOP/JT-2028Y adhesive/58g Yellow glassine</t>
  </si>
  <si>
    <t>X1471</t>
  </si>
  <si>
    <t>70g Thermal Transfer Vellum/JT-2028Y adhesive/58g Yellow glassine</t>
  </si>
  <si>
    <t>Finished label</t>
  </si>
  <si>
    <t>P1011</t>
  </si>
  <si>
    <t>3 colors pre-printed Thermal eco 70g BPA FREE/Hot
melt/58g yellow glassine-new die-cutting----54.5x38.1mm</t>
  </si>
  <si>
    <t>R1241P-F</t>
  </si>
  <si>
    <t>Blank--Fan Folding----148x210mm-1000 pcs/stack
70gsm Thermal  Eco/ 19gsm Permanent 2028Y from JAOUR  / 58g yellow glassine</t>
  </si>
  <si>
    <t>R163A-F</t>
  </si>
  <si>
    <t>1 color  pre-printed----Yellow C ----105x148mm-500pcs/roll
70gsm Thermal  Top-coated / 22gsm Freeze hot melt -2259 / 58g yellow glassine</t>
  </si>
  <si>
    <t>X501</t>
  </si>
  <si>
    <t>76gsm Top thermal linerless label---3 colors ----58mm x 65m
Removable hotmelt glue 2mm without glue(two sides)</t>
  </si>
  <si>
    <t>Prix /m²</t>
  </si>
  <si>
    <t>2028Y/40</t>
  </si>
  <si>
    <t>P1201T/19</t>
  </si>
  <si>
    <t>P1201T/22</t>
  </si>
  <si>
    <t>P1203</t>
  </si>
  <si>
    <t>P1201</t>
  </si>
  <si>
    <t>1401/55</t>
  </si>
  <si>
    <t>P1503</t>
  </si>
  <si>
    <t>P1503/22</t>
  </si>
  <si>
    <t xml:space="preserve">RIFO PP 100µ RPG-95 </t>
  </si>
  <si>
    <t>Transport au  m²</t>
  </si>
  <si>
    <t>Poids en 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</si>
</sst>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#,##0.00\ &quot;€&quot;;[Red]\-#,##0.00\ &quot;€&quot;"/>
    <numFmt numFmtId="164" formatCode="#,##0.000\ &quot;€&quot;"/>
    <numFmt numFmtId="165" formatCode="#,##0.00\ &quot;€&quot;"/>
    <numFmt numFmtId="166" formatCode="0.000"/>
    <numFmt numFmtId="167" formatCode="0.0000"/>
    <numFmt numFmtId="168" formatCode="#,##0.00\ [$$-C0C]"/>
    <numFmt numFmtId="169" formatCode="#,##0.00\ [$USD]"/>
    <numFmt numFmtId="170" formatCode="#,##0\ [$USD]"/>
    <numFmt numFmtId="171" formatCode="[$$-1009]#,##0.00"/>
    <numFmt numFmtId="172" formatCode="#,##0.000\ [$$-C0C]"/>
    <numFmt numFmtId="173" formatCode="#,##0.00\ _€"/>
    <numFmt numFmtId="174" formatCode="\$#,##0.000;\-\$#,##0.000"/>
    <numFmt numFmtId="175" formatCode="\$#,##0.00;\-\$#,##0.00"/>
    <numFmt numFmtId="176" formatCode="#,##0.0000\ [$USD]"/>
    <numFmt numFmtId="177" formatCode="#,##0\ _€;\-#,##0\ _€"/>
  </numFmts>
  <fonts count="38" x14ac:knownFonts="1"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indexed="8"/>
      <name val="Open Sans"/>
      <family val="2"/>
    </font>
    <font>
      <sz val="8"/>
      <name val="Calibri"/>
      <family val="2"/>
    </font>
    <font>
      <b/>
      <i/>
      <sz val="9"/>
      <color indexed="10"/>
      <name val="Open Sans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rgb="FF9C0006"/>
      <name val="Verdana"/>
      <family val="2"/>
    </font>
    <font>
      <b/>
      <sz val="9"/>
      <color theme="1"/>
      <name val="Open Sans"/>
      <family val="2"/>
    </font>
    <font>
      <sz val="9"/>
      <color theme="1"/>
      <name val="Open Sans"/>
      <family val="2"/>
    </font>
    <font>
      <b/>
      <sz val="9"/>
      <color theme="1"/>
      <name val="Calibri"/>
      <family val="2"/>
      <scheme val="minor"/>
    </font>
    <font>
      <sz val="11"/>
      <color theme="1"/>
      <name val="Open Sans"/>
      <family val="2"/>
    </font>
    <font>
      <i/>
      <sz val="9"/>
      <color theme="1"/>
      <name val="Open Sans"/>
      <family val="2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9"/>
      <color rgb="FF9C0006"/>
      <name val="Verdana"/>
      <family val="2"/>
    </font>
    <font>
      <b/>
      <i/>
      <sz val="9"/>
      <color rgb="FF33CC33"/>
      <name val="Open Sans"/>
      <family val="2"/>
    </font>
    <font>
      <b/>
      <sz val="11"/>
      <color rgb="FFFF0000"/>
      <name val="Calibri"/>
      <family val="2"/>
      <scheme val="minor"/>
    </font>
    <font>
      <i/>
      <sz val="9"/>
      <color rgb="FF9C0006"/>
      <name val="Verdana"/>
      <family val="2"/>
    </font>
    <font>
      <b/>
      <sz val="9"/>
      <color rgb="FFFF0000"/>
      <name val="Open Sans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rgb="FFFF0000"/>
      <name val="Verdana"/>
      <family val="2"/>
    </font>
    <font>
      <sz val="9"/>
      <color rgb="FFFF0000"/>
      <name val="Verdana"/>
      <family val="2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9"/>
      <name val="Open Sans"/>
      <family val="2"/>
    </font>
    <font>
      <sz val="9"/>
      <name val="Calibri"/>
      <family val="2"/>
      <scheme val="minor"/>
    </font>
    <font>
      <i/>
      <sz val="9"/>
      <name val="Open Sans"/>
      <family val="2"/>
    </font>
    <font>
      <sz val="9"/>
      <color rgb="FF000000"/>
      <name val="Arial"/>
      <family val="2"/>
    </font>
    <font>
      <b/>
      <i/>
      <sz val="9"/>
      <color rgb="FFFF0000"/>
      <name val="Open Sans"/>
      <family val="2"/>
    </font>
    <font>
      <sz val="11"/>
      <color theme="1"/>
      <name val="Arial"/>
      <family val="2"/>
    </font>
    <font>
      <sz val="9"/>
      <color theme="0"/>
      <name val="Open Sans"/>
      <family val="2"/>
    </font>
    <font>
      <i/>
      <sz val="9"/>
      <color theme="0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209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/>
    <xf numFmtId="166" fontId="0" fillId="4" borderId="0" xfId="0" applyNumberFormat="1" applyFont="1" applyFill="1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wrapText="1"/>
    </xf>
    <xf numFmtId="0" fontId="8" fillId="5" borderId="4" xfId="1" applyFont="1" applyFill="1" applyBorder="1" applyAlignment="1">
      <alignment horizontal="center" vertical="center"/>
    </xf>
    <xf numFmtId="166" fontId="8" fillId="5" borderId="4" xfId="1" applyNumberFormat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166" fontId="9" fillId="5" borderId="4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6" fontId="11" fillId="4" borderId="0" xfId="0" applyNumberFormat="1" applyFont="1" applyFill="1"/>
    <xf numFmtId="164" fontId="11" fillId="3" borderId="0" xfId="0" applyNumberFormat="1" applyFont="1" applyFill="1"/>
    <xf numFmtId="0" fontId="11" fillId="0" borderId="0" xfId="0" applyFont="1"/>
    <xf numFmtId="164" fontId="11" fillId="4" borderId="0" xfId="0" applyNumberFormat="1" applyFont="1" applyFill="1"/>
    <xf numFmtId="0" fontId="11" fillId="0" borderId="0" xfId="0" applyFont="1" applyAlignment="1">
      <alignment horizontal="left"/>
    </xf>
    <xf numFmtId="0" fontId="11" fillId="0" borderId="1" xfId="0" applyFont="1" applyBorder="1"/>
    <xf numFmtId="0" fontId="11" fillId="0" borderId="0" xfId="0" applyFont="1" applyBorder="1" applyAlignment="1">
      <alignment horizontal="center"/>
    </xf>
    <xf numFmtId="0" fontId="11" fillId="0" borderId="0" xfId="0" applyFont="1" applyBorder="1"/>
    <xf numFmtId="0" fontId="10" fillId="5" borderId="4" xfId="1" applyFont="1" applyFill="1" applyBorder="1"/>
    <xf numFmtId="0" fontId="11" fillId="5" borderId="0" xfId="1" applyFont="1" applyFill="1" applyBorder="1"/>
    <xf numFmtId="0" fontId="11" fillId="5" borderId="5" xfId="1" applyFont="1" applyFill="1" applyBorder="1"/>
    <xf numFmtId="0" fontId="12" fillId="0" borderId="0" xfId="0" applyFont="1"/>
    <xf numFmtId="0" fontId="11" fillId="3" borderId="0" xfId="0" applyFont="1" applyFill="1"/>
    <xf numFmtId="164" fontId="10" fillId="4" borderId="0" xfId="0" applyNumberFormat="1" applyFont="1" applyFill="1"/>
    <xf numFmtId="164" fontId="10" fillId="3" borderId="0" xfId="0" applyNumberFormat="1" applyFont="1" applyFill="1"/>
    <xf numFmtId="165" fontId="11" fillId="3" borderId="0" xfId="0" applyNumberFormat="1" applyFont="1" applyFill="1"/>
    <xf numFmtId="0" fontId="11" fillId="0" borderId="0" xfId="0" applyFont="1" applyAlignment="1">
      <alignment horizontal="justify" vertical="center"/>
    </xf>
    <xf numFmtId="9" fontId="11" fillId="0" borderId="0" xfId="0" applyNumberFormat="1" applyFont="1" applyAlignment="1">
      <alignment horizontal="center"/>
    </xf>
    <xf numFmtId="166" fontId="7" fillId="4" borderId="0" xfId="0" applyNumberFormat="1" applyFont="1" applyFill="1"/>
    <xf numFmtId="0" fontId="7" fillId="3" borderId="0" xfId="0" applyFont="1" applyFill="1"/>
    <xf numFmtId="0" fontId="8" fillId="5" borderId="6" xfId="1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center" vertical="center"/>
    </xf>
    <xf numFmtId="0" fontId="11" fillId="4" borderId="0" xfId="0" applyNumberFormat="1" applyFont="1" applyFill="1" applyAlignment="1">
      <alignment horizontal="center" vertical="center"/>
    </xf>
    <xf numFmtId="167" fontId="11" fillId="0" borderId="0" xfId="0" applyNumberFormat="1" applyFont="1"/>
    <xf numFmtId="167" fontId="10" fillId="0" borderId="0" xfId="0" applyNumberFormat="1" applyFont="1"/>
    <xf numFmtId="167" fontId="7" fillId="0" borderId="0" xfId="0" applyNumberFormat="1" applyFont="1"/>
    <xf numFmtId="0" fontId="13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center" wrapText="1"/>
    </xf>
    <xf numFmtId="166" fontId="10" fillId="4" borderId="2" xfId="0" applyNumberFormat="1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164" fontId="14" fillId="4" borderId="0" xfId="0" applyNumberFormat="1" applyFont="1" applyFill="1"/>
    <xf numFmtId="164" fontId="14" fillId="3" borderId="0" xfId="0" applyNumberFormat="1" applyFont="1" applyFill="1"/>
    <xf numFmtId="167" fontId="14" fillId="0" borderId="0" xfId="0" applyNumberFormat="1" applyFont="1"/>
    <xf numFmtId="0" fontId="15" fillId="0" borderId="0" xfId="0" applyFont="1"/>
    <xf numFmtId="0" fontId="16" fillId="0" borderId="0" xfId="0" applyFont="1"/>
    <xf numFmtId="0" fontId="18" fillId="5" borderId="4" xfId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0" fillId="0" borderId="0" xfId="0" applyFont="1"/>
    <xf numFmtId="166" fontId="11" fillId="3" borderId="0" xfId="0" applyNumberFormat="1" applyFont="1" applyFill="1"/>
    <xf numFmtId="166" fontId="10" fillId="3" borderId="0" xfId="0" applyNumberFormat="1" applyFont="1" applyFill="1"/>
    <xf numFmtId="166" fontId="14" fillId="3" borderId="0" xfId="0" applyNumberFormat="1" applyFont="1" applyFill="1"/>
    <xf numFmtId="166" fontId="7" fillId="3" borderId="0" xfId="0" applyNumberFormat="1" applyFont="1" applyFill="1"/>
    <xf numFmtId="166" fontId="0" fillId="3" borderId="0" xfId="0" applyNumberFormat="1" applyFill="1"/>
    <xf numFmtId="0" fontId="1" fillId="5" borderId="4" xfId="1" applyFont="1" applyFill="1" applyBorder="1" applyAlignment="1">
      <alignment horizontal="center" vertical="center"/>
    </xf>
    <xf numFmtId="10" fontId="11" fillId="3" borderId="0" xfId="0" applyNumberFormat="1" applyFont="1" applyFill="1"/>
    <xf numFmtId="10" fontId="10" fillId="3" borderId="0" xfId="0" applyNumberFormat="1" applyFont="1" applyFill="1"/>
    <xf numFmtId="169" fontId="11" fillId="3" borderId="0" xfId="0" applyNumberFormat="1" applyFont="1" applyFill="1"/>
    <xf numFmtId="169" fontId="14" fillId="3" borderId="0" xfId="0" applyNumberFormat="1" applyFont="1" applyFill="1"/>
    <xf numFmtId="169" fontId="10" fillId="3" borderId="0" xfId="0" applyNumberFormat="1" applyFont="1" applyFill="1"/>
    <xf numFmtId="169" fontId="7" fillId="3" borderId="0" xfId="0" applyNumberFormat="1" applyFont="1" applyFill="1"/>
    <xf numFmtId="0" fontId="20" fillId="3" borderId="0" xfId="0" applyFont="1" applyFill="1"/>
    <xf numFmtId="0" fontId="20" fillId="0" borderId="0" xfId="0" applyFont="1" applyFill="1"/>
    <xf numFmtId="0" fontId="10" fillId="0" borderId="2" xfId="0" applyFont="1" applyFill="1" applyBorder="1" applyAlignment="1">
      <alignment horizontal="center" wrapText="1"/>
    </xf>
    <xf numFmtId="164" fontId="11" fillId="0" borderId="0" xfId="0" applyNumberFormat="1" applyFont="1" applyFill="1"/>
    <xf numFmtId="169" fontId="11" fillId="0" borderId="0" xfId="0" applyNumberFormat="1" applyFont="1" applyFill="1"/>
    <xf numFmtId="169" fontId="14" fillId="0" borderId="0" xfId="0" applyNumberFormat="1" applyFont="1" applyFill="1"/>
    <xf numFmtId="169" fontId="10" fillId="0" borderId="0" xfId="0" applyNumberFormat="1" applyFont="1" applyFill="1"/>
    <xf numFmtId="169" fontId="7" fillId="0" borderId="0" xfId="0" applyNumberFormat="1" applyFont="1" applyFill="1"/>
    <xf numFmtId="0" fontId="7" fillId="0" borderId="0" xfId="0" applyFont="1" applyFill="1"/>
    <xf numFmtId="0" fontId="0" fillId="0" borderId="0" xfId="0" applyFill="1"/>
    <xf numFmtId="170" fontId="14" fillId="3" borderId="0" xfId="0" applyNumberFormat="1" applyFont="1" applyFill="1"/>
    <xf numFmtId="3" fontId="14" fillId="3" borderId="0" xfId="0" applyNumberFormat="1" applyFont="1" applyFill="1"/>
    <xf numFmtId="171" fontId="7" fillId="3" borderId="0" xfId="0" applyNumberFormat="1" applyFont="1" applyFill="1"/>
    <xf numFmtId="171" fontId="0" fillId="3" borderId="0" xfId="0" applyNumberFormat="1" applyFill="1"/>
    <xf numFmtId="0" fontId="8" fillId="5" borderId="4" xfId="1" applyFont="1" applyFill="1" applyBorder="1" applyAlignment="1">
      <alignment vertical="center"/>
    </xf>
    <xf numFmtId="0" fontId="8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9" fillId="0" borderId="4" xfId="1" applyFont="1" applyFill="1" applyBorder="1" applyAlignment="1">
      <alignment vertical="center"/>
    </xf>
    <xf numFmtId="0" fontId="9" fillId="0" borderId="6" xfId="1" applyFont="1" applyFill="1" applyBorder="1" applyAlignment="1">
      <alignment vertical="center"/>
    </xf>
    <xf numFmtId="0" fontId="8" fillId="5" borderId="4" xfId="1" applyFont="1" applyFill="1" applyBorder="1" applyAlignment="1">
      <alignment horizontal="left" vertical="center"/>
    </xf>
    <xf numFmtId="0" fontId="8" fillId="0" borderId="4" xfId="1" applyFont="1" applyFill="1" applyBorder="1" applyAlignment="1">
      <alignment vertical="center"/>
    </xf>
    <xf numFmtId="0" fontId="8" fillId="5" borderId="6" xfId="1" applyFont="1" applyFill="1" applyBorder="1" applyAlignment="1">
      <alignment vertical="center"/>
    </xf>
    <xf numFmtId="0" fontId="8" fillId="5" borderId="7" xfId="1" applyFont="1" applyFill="1" applyBorder="1" applyAlignment="1">
      <alignment vertical="center"/>
    </xf>
    <xf numFmtId="0" fontId="8" fillId="5" borderId="6" xfId="1" applyFont="1" applyFill="1" applyBorder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7" fillId="5" borderId="4" xfId="1" applyFont="1" applyFill="1" applyBorder="1" applyAlignment="1">
      <alignment vertical="center"/>
    </xf>
    <xf numFmtId="164" fontId="17" fillId="5" borderId="4" xfId="1" applyNumberFormat="1" applyFont="1" applyFill="1" applyBorder="1" applyAlignment="1">
      <alignment vertical="center"/>
    </xf>
    <xf numFmtId="0" fontId="18" fillId="0" borderId="4" xfId="1" applyFont="1" applyFill="1" applyBorder="1" applyAlignment="1">
      <alignment vertical="center"/>
    </xf>
    <xf numFmtId="164" fontId="8" fillId="5" borderId="4" xfId="1" applyNumberFormat="1" applyFont="1" applyFill="1" applyBorder="1" applyAlignment="1">
      <alignment vertical="center"/>
    </xf>
    <xf numFmtId="0" fontId="10" fillId="5" borderId="0" xfId="0" applyFont="1" applyFill="1" applyAlignment="1">
      <alignment horizontal="left" vertical="center"/>
    </xf>
    <xf numFmtId="0" fontId="17" fillId="5" borderId="4" xfId="1" applyFont="1" applyFill="1" applyBorder="1" applyAlignment="1">
      <alignment horizontal="left" vertical="center"/>
    </xf>
    <xf numFmtId="0" fontId="9" fillId="5" borderId="4" xfId="1" applyFont="1" applyFill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5" borderId="0" xfId="0" applyFont="1" applyFill="1" applyBorder="1" applyAlignment="1">
      <alignment vertical="center"/>
    </xf>
    <xf numFmtId="0" fontId="7" fillId="5" borderId="0" xfId="0" applyFont="1" applyFill="1" applyAlignment="1">
      <alignment horizontal="left" vertical="center"/>
    </xf>
    <xf numFmtId="0" fontId="9" fillId="5" borderId="6" xfId="1" applyFont="1" applyFill="1" applyBorder="1" applyAlignment="1">
      <alignment vertical="center"/>
    </xf>
    <xf numFmtId="0" fontId="8" fillId="5" borderId="0" xfId="1" applyFont="1" applyFill="1" applyBorder="1" applyAlignment="1">
      <alignment vertical="center"/>
    </xf>
    <xf numFmtId="0" fontId="8" fillId="5" borderId="0" xfId="1" applyFont="1" applyFill="1" applyBorder="1" applyAlignment="1">
      <alignment horizontal="left" vertical="center"/>
    </xf>
    <xf numFmtId="0" fontId="21" fillId="0" borderId="4" xfId="1" applyFont="1" applyFill="1" applyBorder="1" applyAlignment="1">
      <alignment vertical="center"/>
    </xf>
    <xf numFmtId="0" fontId="8" fillId="5" borderId="9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9" fillId="5" borderId="4" xfId="1" applyFont="1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168" fontId="11" fillId="4" borderId="0" xfId="0" applyNumberFormat="1" applyFont="1" applyFill="1"/>
    <xf numFmtId="168" fontId="10" fillId="4" borderId="0" xfId="0" applyNumberFormat="1" applyFont="1" applyFill="1"/>
    <xf numFmtId="168" fontId="14" fillId="4" borderId="0" xfId="0" applyNumberFormat="1" applyFont="1" applyFill="1"/>
    <xf numFmtId="168" fontId="7" fillId="4" borderId="0" xfId="0" applyNumberFormat="1" applyFont="1" applyFill="1"/>
    <xf numFmtId="172" fontId="14" fillId="4" borderId="0" xfId="0" applyNumberFormat="1" applyFont="1" applyFill="1"/>
    <xf numFmtId="0" fontId="23" fillId="6" borderId="0" xfId="0" applyFont="1" applyFill="1" applyAlignment="1">
      <alignment horizontal="left"/>
    </xf>
    <xf numFmtId="0" fontId="24" fillId="6" borderId="0" xfId="0" applyFont="1" applyFill="1" applyAlignment="1">
      <alignment horizontal="center"/>
    </xf>
    <xf numFmtId="0" fontId="10" fillId="5" borderId="0" xfId="1" applyFont="1" applyFill="1" applyBorder="1"/>
    <xf numFmtId="166" fontId="6" fillId="5" borderId="0" xfId="0" applyNumberFormat="1" applyFont="1" applyFill="1" applyBorder="1" applyAlignment="1">
      <alignment horizontal="center" vertical="center"/>
    </xf>
    <xf numFmtId="166" fontId="10" fillId="5" borderId="2" xfId="0" applyNumberFormat="1" applyFont="1" applyFill="1" applyBorder="1" applyAlignment="1">
      <alignment horizontal="center" wrapText="1"/>
    </xf>
    <xf numFmtId="166" fontId="11" fillId="5" borderId="0" xfId="0" applyNumberFormat="1" applyFont="1" applyFill="1"/>
    <xf numFmtId="164" fontId="11" fillId="5" borderId="0" xfId="0" applyNumberFormat="1" applyFont="1" applyFill="1"/>
    <xf numFmtId="164" fontId="14" fillId="5" borderId="0" xfId="0" applyNumberFormat="1" applyFont="1" applyFill="1"/>
    <xf numFmtId="0" fontId="11" fillId="5" borderId="0" xfId="0" applyNumberFormat="1" applyFont="1" applyFill="1" applyAlignment="1">
      <alignment horizontal="center" vertical="center"/>
    </xf>
    <xf numFmtId="168" fontId="11" fillId="5" borderId="0" xfId="0" applyNumberFormat="1" applyFont="1" applyFill="1"/>
    <xf numFmtId="168" fontId="10" fillId="5" borderId="0" xfId="0" applyNumberFormat="1" applyFont="1" applyFill="1"/>
    <xf numFmtId="168" fontId="14" fillId="5" borderId="0" xfId="0" applyNumberFormat="1" applyFont="1" applyFill="1"/>
    <xf numFmtId="172" fontId="14" fillId="5" borderId="0" xfId="0" applyNumberFormat="1" applyFont="1" applyFill="1"/>
    <xf numFmtId="168" fontId="7" fillId="5" borderId="0" xfId="0" applyNumberFormat="1" applyFont="1" applyFill="1"/>
    <xf numFmtId="166" fontId="7" fillId="5" borderId="0" xfId="0" applyNumberFormat="1" applyFont="1" applyFill="1"/>
    <xf numFmtId="166" fontId="0" fillId="5" borderId="0" xfId="0" applyNumberFormat="1" applyFont="1" applyFill="1"/>
    <xf numFmtId="0" fontId="25" fillId="0" borderId="2" xfId="0" applyFont="1" applyBorder="1" applyAlignment="1">
      <alignment horizontal="left" vertical="center"/>
    </xf>
    <xf numFmtId="169" fontId="14" fillId="0" borderId="0" xfId="0" applyNumberFormat="1" applyFont="1"/>
    <xf numFmtId="169" fontId="11" fillId="0" borderId="0" xfId="0" applyNumberFormat="1" applyFont="1"/>
    <xf numFmtId="164" fontId="8" fillId="5" borderId="4" xfId="1" applyNumberFormat="1" applyFont="1" applyFill="1" applyBorder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center"/>
    </xf>
    <xf numFmtId="8" fontId="1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/>
    </xf>
    <xf numFmtId="0" fontId="1" fillId="5" borderId="0" xfId="1" applyFont="1" applyFill="1" applyBorder="1" applyAlignment="1">
      <alignment vertical="center"/>
    </xf>
    <xf numFmtId="0" fontId="26" fillId="5" borderId="4" xfId="1" applyFont="1" applyFill="1" applyBorder="1" applyAlignment="1">
      <alignment vertical="center"/>
    </xf>
    <xf numFmtId="0" fontId="8" fillId="6" borderId="4" xfId="1" applyFont="1" applyFill="1" applyBorder="1" applyAlignment="1">
      <alignment vertical="center"/>
    </xf>
    <xf numFmtId="0" fontId="8" fillId="6" borderId="0" xfId="0" applyFont="1" applyFill="1" applyAlignment="1">
      <alignment horizontal="left" vertical="center"/>
    </xf>
    <xf numFmtId="0" fontId="0" fillId="0" borderId="0" xfId="0"/>
    <xf numFmtId="0" fontId="11" fillId="0" borderId="0" xfId="0" applyFont="1" applyAlignment="1">
      <alignment horizontal="center"/>
    </xf>
    <xf numFmtId="0" fontId="18" fillId="5" borderId="4" xfId="1" applyFont="1" applyFill="1" applyBorder="1" applyAlignment="1">
      <alignment vertical="center"/>
    </xf>
    <xf numFmtId="0" fontId="27" fillId="5" borderId="4" xfId="1" applyFont="1" applyFill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0" fontId="21" fillId="5" borderId="4" xfId="1" applyFont="1" applyFill="1" applyBorder="1" applyAlignment="1">
      <alignment vertical="center"/>
    </xf>
    <xf numFmtId="0" fontId="8" fillId="5" borderId="8" xfId="1" applyFont="1" applyFill="1" applyBorder="1" applyAlignment="1">
      <alignment horizontal="center" vertical="center"/>
    </xf>
    <xf numFmtId="0" fontId="27" fillId="6" borderId="4" xfId="1" applyFont="1" applyFill="1" applyBorder="1" applyAlignment="1">
      <alignment vertical="center"/>
    </xf>
    <xf numFmtId="164" fontId="8" fillId="6" borderId="4" xfId="1" applyNumberFormat="1" applyFont="1" applyFill="1" applyBorder="1" applyAlignment="1">
      <alignment horizontal="center" vertical="center"/>
    </xf>
    <xf numFmtId="164" fontId="8" fillId="6" borderId="4" xfId="1" applyNumberFormat="1" applyFont="1" applyFill="1" applyBorder="1" applyAlignment="1">
      <alignment vertical="center"/>
    </xf>
    <xf numFmtId="0" fontId="9" fillId="6" borderId="4" xfId="1" applyFont="1" applyFill="1" applyBorder="1" applyAlignment="1">
      <alignment vertical="center"/>
    </xf>
    <xf numFmtId="0" fontId="18" fillId="6" borderId="4" xfId="1" applyFont="1" applyFill="1" applyBorder="1" applyAlignment="1">
      <alignment vertical="center"/>
    </xf>
    <xf numFmtId="0" fontId="9" fillId="6" borderId="4" xfId="1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left" vertical="center"/>
    </xf>
    <xf numFmtId="0" fontId="1" fillId="6" borderId="4" xfId="1" applyFont="1" applyFill="1" applyBorder="1" applyAlignment="1">
      <alignment vertical="center"/>
    </xf>
    <xf numFmtId="0" fontId="28" fillId="5" borderId="4" xfId="1" applyFont="1" applyFill="1" applyBorder="1" applyAlignment="1">
      <alignment horizontal="center" vertical="center"/>
    </xf>
    <xf numFmtId="0" fontId="29" fillId="5" borderId="8" xfId="1" applyFont="1" applyFill="1" applyBorder="1" applyAlignment="1">
      <alignment vertical="center"/>
    </xf>
    <xf numFmtId="0" fontId="29" fillId="5" borderId="4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30" fillId="6" borderId="0" xfId="0" applyFont="1" applyFill="1" applyAlignment="1">
      <alignment horizontal="left" vertical="center"/>
    </xf>
    <xf numFmtId="0" fontId="30" fillId="5" borderId="0" xfId="0" applyFont="1" applyFill="1" applyAlignment="1">
      <alignment horizontal="left" vertical="center"/>
    </xf>
    <xf numFmtId="0" fontId="30" fillId="5" borderId="0" xfId="0" applyFont="1" applyFill="1" applyAlignment="1">
      <alignment horizontal="left"/>
    </xf>
    <xf numFmtId="0" fontId="1" fillId="5" borderId="7" xfId="1" applyFont="1" applyFill="1" applyBorder="1" applyAlignment="1">
      <alignment vertical="center"/>
    </xf>
    <xf numFmtId="0" fontId="30" fillId="6" borderId="0" xfId="0" applyFont="1" applyFill="1" applyAlignment="1">
      <alignment horizontal="left"/>
    </xf>
    <xf numFmtId="0" fontId="30" fillId="6" borderId="1" xfId="0" applyFont="1" applyFill="1" applyBorder="1" applyAlignment="1">
      <alignment vertical="center"/>
    </xf>
    <xf numFmtId="0" fontId="30" fillId="5" borderId="1" xfId="0" applyFont="1" applyFill="1" applyBorder="1" applyAlignment="1">
      <alignment vertical="center"/>
    </xf>
    <xf numFmtId="0" fontId="30" fillId="5" borderId="0" xfId="0" applyFont="1" applyFill="1" applyBorder="1"/>
    <xf numFmtId="0" fontId="1" fillId="5" borderId="0" xfId="0" applyFont="1" applyFill="1" applyBorder="1" applyAlignment="1">
      <alignment vertical="center"/>
    </xf>
    <xf numFmtId="0" fontId="30" fillId="5" borderId="0" xfId="0" applyFont="1" applyFill="1" applyBorder="1" applyAlignment="1">
      <alignment vertical="center"/>
    </xf>
    <xf numFmtId="0" fontId="31" fillId="5" borderId="0" xfId="0" applyFont="1" applyFill="1" applyAlignment="1">
      <alignment horizontal="left" vertical="center"/>
    </xf>
    <xf numFmtId="0" fontId="32" fillId="5" borderId="0" xfId="0" applyFont="1" applyFill="1" applyAlignment="1">
      <alignment horizontal="left" vertical="center"/>
    </xf>
    <xf numFmtId="0" fontId="32" fillId="6" borderId="0" xfId="0" applyFont="1" applyFill="1" applyAlignment="1">
      <alignment horizontal="left"/>
    </xf>
    <xf numFmtId="0" fontId="32" fillId="5" borderId="0" xfId="0" applyFont="1" applyFill="1" applyAlignment="1">
      <alignment horizontal="left"/>
    </xf>
    <xf numFmtId="0" fontId="9" fillId="5" borderId="6" xfId="1" applyFont="1" applyFill="1" applyBorder="1" applyAlignment="1">
      <alignment horizontal="center" vertical="center"/>
    </xf>
    <xf numFmtId="0" fontId="33" fillId="0" borderId="2" xfId="0" applyFont="1" applyBorder="1" applyAlignment="1">
      <alignment vertical="center" wrapText="1"/>
    </xf>
    <xf numFmtId="173" fontId="14" fillId="4" borderId="0" xfId="0" applyNumberFormat="1" applyFont="1" applyFill="1"/>
    <xf numFmtId="10" fontId="14" fillId="4" borderId="0" xfId="0" applyNumberFormat="1" applyFont="1" applyFill="1"/>
    <xf numFmtId="0" fontId="25" fillId="0" borderId="2" xfId="0" applyFont="1" applyBorder="1" applyAlignment="1">
      <alignment horizontal="center" vertical="center"/>
    </xf>
    <xf numFmtId="174" fontId="35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175" fontId="35" fillId="0" borderId="2" xfId="0" applyNumberFormat="1" applyFont="1" applyBorder="1" applyAlignment="1">
      <alignment horizontal="center" vertical="center"/>
    </xf>
    <xf numFmtId="2" fontId="11" fillId="4" borderId="0" xfId="0" applyNumberFormat="1" applyFont="1" applyFill="1"/>
    <xf numFmtId="165" fontId="11" fillId="4" borderId="0" xfId="0" applyNumberFormat="1" applyFont="1" applyFill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4" fontId="36" fillId="5" borderId="0" xfId="0" applyNumberFormat="1" applyFont="1" applyFill="1"/>
    <xf numFmtId="164" fontId="37" fillId="5" borderId="0" xfId="0" applyNumberFormat="1" applyFont="1" applyFill="1"/>
    <xf numFmtId="169" fontId="14" fillId="5" borderId="0" xfId="0" applyNumberFormat="1" applyFont="1" applyFill="1"/>
    <xf numFmtId="176" fontId="14" fillId="3" borderId="0" xfId="0" applyNumberFormat="1" applyFont="1" applyFill="1"/>
    <xf numFmtId="167" fontId="14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177" fontId="35" fillId="0" borderId="0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0" borderId="0" xfId="0"/>
    <xf numFmtId="166" fontId="6" fillId="4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</cellXfs>
  <cellStyles count="2">
    <cellStyle name="Insatisfaisant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26DA-73E9-4533-9272-3E8113422D4F}">
  <sheetPr>
    <pageSetUpPr fitToPage="1"/>
  </sheetPr>
  <dimension ref="A1:AB819"/>
  <sheetViews>
    <sheetView tabSelected="1" topLeftCell="B1" zoomScale="115" zoomScaleNormal="115" workbookViewId="0">
      <pane ySplit="2" topLeftCell="A82" activePane="bottomLeft" state="frozen"/>
      <selection pane="bottomLeft" activeCell="B87" sqref="B87:L94"/>
    </sheetView>
  </sheetViews>
  <sheetFormatPr baseColWidth="10" defaultRowHeight="15" x14ac:dyDescent="0.25"/>
  <cols>
    <col min="1" max="1" width="24.140625" style="4" customWidth="1"/>
    <col min="2" max="2" width="11.42578125" style="4" customWidth="1"/>
    <col min="3" max="3" width="47.85546875" style="1" customWidth="1"/>
    <col min="4" max="5" width="11.42578125" style="4" customWidth="1"/>
    <col min="6" max="6" width="14.5703125" style="1" customWidth="1"/>
    <col min="7" max="7" width="19.140625" style="4" customWidth="1"/>
    <col min="8" max="8" width="9.85546875" style="3" customWidth="1"/>
    <col min="9" max="10" width="11.42578125" style="3" hidden="1" customWidth="1"/>
    <col min="11" max="12" width="11.42578125" style="3" customWidth="1"/>
    <col min="13" max="13" width="2.7109375" style="136" customWidth="1"/>
    <col min="14" max="17" width="11.42578125" style="2" customWidth="1"/>
    <col min="18" max="18" width="4" style="79" customWidth="1"/>
    <col min="19" max="19" width="13" style="2" customWidth="1"/>
    <col min="20" max="21" width="11.42578125" style="2" customWidth="1"/>
    <col min="22" max="22" width="4" style="79" customWidth="1"/>
    <col min="23" max="23" width="11.42578125" style="2"/>
    <col min="25" max="25" width="15.140625" style="4" customWidth="1"/>
    <col min="26" max="26" width="11.42578125" style="1" customWidth="1"/>
    <col min="27" max="27" width="8" style="1" customWidth="1"/>
  </cols>
  <sheetData>
    <row r="1" spans="1:28" ht="18.75" x14ac:dyDescent="0.3">
      <c r="C1" s="121" t="s">
        <v>118</v>
      </c>
      <c r="F1" s="121"/>
      <c r="G1" s="122">
        <v>0.85</v>
      </c>
      <c r="H1" s="207" t="s">
        <v>160</v>
      </c>
      <c r="I1" s="207"/>
      <c r="J1" s="207"/>
      <c r="K1" s="207"/>
      <c r="L1" s="207"/>
      <c r="M1" s="124"/>
      <c r="O1" s="70" t="s">
        <v>101</v>
      </c>
      <c r="P1" s="70"/>
      <c r="Q1" s="70"/>
      <c r="R1" s="71"/>
      <c r="S1" s="70" t="s">
        <v>100</v>
      </c>
      <c r="T1" s="70" t="s">
        <v>99</v>
      </c>
      <c r="U1" s="70"/>
      <c r="V1" s="71"/>
      <c r="W1" s="70">
        <v>4000</v>
      </c>
    </row>
    <row r="2" spans="1:28" s="9" customFormat="1" ht="57" x14ac:dyDescent="0.3">
      <c r="A2" s="43"/>
      <c r="B2" s="43"/>
      <c r="C2" s="44" t="s">
        <v>15</v>
      </c>
      <c r="D2" s="43" t="s">
        <v>103</v>
      </c>
      <c r="E2" s="43" t="s">
        <v>193</v>
      </c>
      <c r="F2" s="44" t="s">
        <v>145</v>
      </c>
      <c r="G2" s="45" t="s">
        <v>19</v>
      </c>
      <c r="H2" s="46" t="s">
        <v>119</v>
      </c>
      <c r="I2" s="46" t="s">
        <v>81</v>
      </c>
      <c r="J2" s="46" t="s">
        <v>76</v>
      </c>
      <c r="K2" s="46" t="s">
        <v>161</v>
      </c>
      <c r="L2" s="46" t="s">
        <v>120</v>
      </c>
      <c r="M2" s="125"/>
      <c r="N2" s="47" t="s">
        <v>127</v>
      </c>
      <c r="O2" s="47" t="s">
        <v>129</v>
      </c>
      <c r="P2" s="47" t="s">
        <v>103</v>
      </c>
      <c r="Q2" s="47" t="s">
        <v>182</v>
      </c>
      <c r="R2" s="72"/>
      <c r="S2" s="47" t="s">
        <v>102</v>
      </c>
      <c r="T2" s="47" t="s">
        <v>104</v>
      </c>
      <c r="U2" s="47" t="s">
        <v>192</v>
      </c>
      <c r="V2" s="72"/>
      <c r="W2" s="47" t="s">
        <v>98</v>
      </c>
      <c r="X2" s="45" t="s">
        <v>13</v>
      </c>
      <c r="Y2" s="45" t="s">
        <v>19</v>
      </c>
      <c r="Z2" s="44" t="s">
        <v>53</v>
      </c>
      <c r="AA2" s="44" t="s">
        <v>40</v>
      </c>
    </row>
    <row r="3" spans="1:28" ht="15.75" x14ac:dyDescent="0.3">
      <c r="A3" s="16"/>
      <c r="B3" s="16"/>
      <c r="C3" s="14" t="s">
        <v>20</v>
      </c>
      <c r="D3" s="16"/>
      <c r="E3" s="201"/>
      <c r="F3" s="14"/>
      <c r="G3" s="16"/>
      <c r="H3" s="17"/>
      <c r="I3" s="17"/>
      <c r="J3" s="17"/>
      <c r="K3" s="17"/>
      <c r="L3" s="17"/>
      <c r="M3" s="126"/>
      <c r="N3" s="18"/>
      <c r="O3" s="18"/>
      <c r="P3" s="18"/>
      <c r="Q3" s="18"/>
      <c r="R3" s="73"/>
      <c r="S3" s="64"/>
      <c r="T3" s="67"/>
      <c r="U3" s="67"/>
      <c r="V3" s="73"/>
      <c r="W3" s="18"/>
      <c r="X3" s="40"/>
      <c r="Y3" s="16"/>
      <c r="Z3" s="14"/>
      <c r="AA3" s="14"/>
      <c r="AB3" s="8"/>
    </row>
    <row r="4" spans="1:28" ht="15.75" x14ac:dyDescent="0.3">
      <c r="A4" s="16" t="s">
        <v>46</v>
      </c>
      <c r="B4" s="16"/>
      <c r="C4" s="21" t="s">
        <v>26</v>
      </c>
      <c r="D4" s="16"/>
      <c r="E4" s="201"/>
      <c r="F4" s="21"/>
      <c r="G4" s="16"/>
      <c r="H4" s="20">
        <v>0</v>
      </c>
      <c r="I4" s="20"/>
      <c r="J4" s="20"/>
      <c r="K4" s="20"/>
      <c r="L4" s="20"/>
      <c r="M4" s="127"/>
      <c r="N4" s="18"/>
      <c r="O4" s="18"/>
      <c r="P4" s="18"/>
      <c r="Q4" s="18"/>
      <c r="R4" s="73"/>
      <c r="S4" s="64"/>
      <c r="T4" s="67"/>
      <c r="U4" s="67"/>
      <c r="V4" s="73"/>
      <c r="W4" s="18"/>
      <c r="X4" s="40"/>
      <c r="Y4" s="16"/>
      <c r="Z4" s="21"/>
      <c r="AA4" s="21"/>
      <c r="AB4" s="8"/>
    </row>
    <row r="5" spans="1:28" ht="15.75" x14ac:dyDescent="0.3">
      <c r="A5" s="16" t="s">
        <v>46</v>
      </c>
      <c r="B5" s="16"/>
      <c r="C5" s="21" t="s">
        <v>46</v>
      </c>
      <c r="D5" s="16"/>
      <c r="E5" s="201"/>
      <c r="F5" s="21"/>
      <c r="G5" s="16"/>
      <c r="H5" s="20">
        <v>0</v>
      </c>
      <c r="I5" s="20"/>
      <c r="J5" s="20"/>
      <c r="K5" s="20"/>
      <c r="L5" s="20"/>
      <c r="M5" s="127"/>
      <c r="N5" s="18"/>
      <c r="O5" s="18"/>
      <c r="P5" s="18"/>
      <c r="Q5" s="18"/>
      <c r="R5" s="73"/>
      <c r="S5" s="64"/>
      <c r="T5" s="67"/>
      <c r="U5" s="67"/>
      <c r="V5" s="73"/>
      <c r="W5" s="18"/>
      <c r="X5" s="40"/>
      <c r="Y5" s="16"/>
      <c r="Z5" s="21"/>
      <c r="AA5" s="21"/>
      <c r="AB5" s="8"/>
    </row>
    <row r="6" spans="1:28" ht="15.75" x14ac:dyDescent="0.3">
      <c r="A6" s="16" t="s">
        <v>33</v>
      </c>
      <c r="B6" s="16"/>
      <c r="C6" s="21" t="s">
        <v>78</v>
      </c>
      <c r="D6" s="16"/>
      <c r="E6" s="201"/>
      <c r="F6" s="21"/>
      <c r="G6" s="16" t="s">
        <v>77</v>
      </c>
      <c r="H6" s="20">
        <f>N6*X6</f>
        <v>5.7200000000000001E-2</v>
      </c>
      <c r="I6" s="20"/>
      <c r="J6" s="20"/>
      <c r="K6" s="20"/>
      <c r="L6" s="20"/>
      <c r="M6" s="127"/>
      <c r="N6" s="18">
        <v>28.6</v>
      </c>
      <c r="O6" s="18"/>
      <c r="P6" s="18"/>
      <c r="Q6" s="18"/>
      <c r="R6" s="73"/>
      <c r="T6" s="67"/>
      <c r="U6" s="67"/>
      <c r="V6" s="73"/>
      <c r="W6" s="18"/>
      <c r="X6" s="40">
        <v>2E-3</v>
      </c>
      <c r="Y6" s="16" t="s">
        <v>17</v>
      </c>
      <c r="Z6" s="21"/>
      <c r="AA6" s="21"/>
      <c r="AB6" s="8"/>
    </row>
    <row r="7" spans="1:28" ht="15.75" x14ac:dyDescent="0.3">
      <c r="A7" s="16" t="s">
        <v>33</v>
      </c>
      <c r="B7" s="16"/>
      <c r="C7" s="21" t="s">
        <v>74</v>
      </c>
      <c r="D7" s="16"/>
      <c r="E7" s="201"/>
      <c r="F7" s="21"/>
      <c r="G7" s="16" t="s">
        <v>77</v>
      </c>
      <c r="H7" s="20">
        <f>N7*X7</f>
        <v>7.7200000000000005E-2</v>
      </c>
      <c r="I7" s="20"/>
      <c r="J7" s="20"/>
      <c r="K7" s="20"/>
      <c r="L7" s="20"/>
      <c r="M7" s="127"/>
      <c r="N7" s="18">
        <v>38.6</v>
      </c>
      <c r="O7" s="18"/>
      <c r="P7" s="18"/>
      <c r="Q7" s="18"/>
      <c r="R7" s="73"/>
      <c r="S7" s="64"/>
      <c r="T7" s="67"/>
      <c r="U7" s="67"/>
      <c r="V7" s="73"/>
      <c r="W7" s="18"/>
      <c r="X7" s="40">
        <v>2E-3</v>
      </c>
      <c r="Y7" s="16" t="s">
        <v>17</v>
      </c>
      <c r="Z7" s="21"/>
      <c r="AA7" s="21"/>
      <c r="AB7" s="8"/>
    </row>
    <row r="8" spans="1:28" ht="15.75" x14ac:dyDescent="0.3">
      <c r="A8" s="16"/>
      <c r="B8" s="16"/>
      <c r="C8" s="21"/>
      <c r="D8" s="16"/>
      <c r="E8" s="201"/>
      <c r="F8" s="21"/>
      <c r="G8" s="16"/>
      <c r="H8" s="20"/>
      <c r="I8" s="20"/>
      <c r="J8" s="20"/>
      <c r="K8" s="20"/>
      <c r="L8" s="20"/>
      <c r="M8" s="127"/>
      <c r="N8" s="18"/>
      <c r="O8" s="18"/>
      <c r="P8" s="18"/>
      <c r="Q8" s="18"/>
      <c r="R8" s="73"/>
      <c r="S8" s="64"/>
      <c r="T8" s="67"/>
      <c r="U8" s="67"/>
      <c r="V8" s="73"/>
      <c r="W8" s="18"/>
      <c r="X8" s="40"/>
      <c r="Y8" s="16"/>
      <c r="Z8" s="21"/>
      <c r="AA8" s="21"/>
      <c r="AB8" s="8"/>
    </row>
    <row r="9" spans="1:28" ht="15.75" x14ac:dyDescent="0.3">
      <c r="A9" s="16" t="s">
        <v>48</v>
      </c>
      <c r="B9" s="16"/>
      <c r="C9" s="21" t="s">
        <v>49</v>
      </c>
      <c r="D9" s="16"/>
      <c r="E9" s="201"/>
      <c r="F9" s="21"/>
      <c r="G9" s="16"/>
      <c r="H9" s="20">
        <v>0</v>
      </c>
      <c r="I9" s="20"/>
      <c r="J9" s="20"/>
      <c r="K9" s="20"/>
      <c r="L9" s="20"/>
      <c r="M9" s="127"/>
      <c r="N9" s="18"/>
      <c r="O9" s="18"/>
      <c r="P9" s="18"/>
      <c r="Q9" s="18"/>
      <c r="R9" s="73"/>
      <c r="S9" s="64"/>
      <c r="T9" s="67"/>
      <c r="U9" s="67"/>
      <c r="V9" s="73"/>
      <c r="W9" s="18"/>
      <c r="X9" s="40"/>
      <c r="Y9" s="16"/>
      <c r="Z9" s="21"/>
      <c r="AA9" s="21"/>
      <c r="AB9" s="8"/>
    </row>
    <row r="10" spans="1:28" s="141" customFormat="1" ht="15.75" x14ac:dyDescent="0.3">
      <c r="A10" s="142" t="s">
        <v>32</v>
      </c>
      <c r="B10" s="142">
        <v>58</v>
      </c>
      <c r="C10" s="21" t="s">
        <v>85</v>
      </c>
      <c r="D10" s="142"/>
      <c r="E10" s="201"/>
      <c r="F10" s="21"/>
      <c r="G10" s="15" t="s">
        <v>22</v>
      </c>
      <c r="H10" s="20">
        <v>0.14799999999999999</v>
      </c>
      <c r="I10" s="20"/>
      <c r="J10" s="20"/>
      <c r="K10" s="20"/>
      <c r="L10" s="20"/>
      <c r="M10" s="127"/>
      <c r="N10" s="18"/>
      <c r="O10" s="66"/>
      <c r="P10" s="66"/>
      <c r="Q10" s="66"/>
      <c r="R10" s="74"/>
      <c r="S10" s="64"/>
      <c r="T10" s="67"/>
      <c r="U10" s="67"/>
      <c r="V10" s="74"/>
      <c r="W10" s="18"/>
      <c r="X10" s="40"/>
      <c r="Y10" s="142" t="s">
        <v>23</v>
      </c>
      <c r="Z10" s="21" t="s">
        <v>32</v>
      </c>
      <c r="AA10" s="21">
        <v>62</v>
      </c>
      <c r="AB10" s="8"/>
    </row>
    <row r="11" spans="1:28" ht="15.75" x14ac:dyDescent="0.3">
      <c r="A11" s="16" t="s">
        <v>32</v>
      </c>
      <c r="B11" s="16">
        <v>58</v>
      </c>
      <c r="C11" s="21" t="s">
        <v>148</v>
      </c>
      <c r="D11" s="144">
        <v>46119</v>
      </c>
      <c r="E11" s="144"/>
      <c r="F11" s="21">
        <v>0.155</v>
      </c>
      <c r="G11" s="15" t="s">
        <v>22</v>
      </c>
      <c r="H11" s="20">
        <v>0.18</v>
      </c>
      <c r="I11" s="20"/>
      <c r="J11" s="20"/>
      <c r="K11" s="20"/>
      <c r="L11" s="20"/>
      <c r="M11" s="127"/>
      <c r="N11" s="18"/>
      <c r="O11" s="66"/>
      <c r="P11" s="66"/>
      <c r="Q11" s="66"/>
      <c r="R11" s="74"/>
      <c r="S11" s="64"/>
      <c r="T11" s="67"/>
      <c r="U11" s="67"/>
      <c r="V11" s="74"/>
      <c r="W11" s="18"/>
      <c r="X11" s="40"/>
      <c r="Y11" s="16" t="s">
        <v>23</v>
      </c>
      <c r="Z11" s="21" t="s">
        <v>32</v>
      </c>
      <c r="AA11" s="21">
        <v>62</v>
      </c>
      <c r="AB11" s="8"/>
    </row>
    <row r="12" spans="1:28" ht="15.75" x14ac:dyDescent="0.3">
      <c r="A12" s="16" t="s">
        <v>32</v>
      </c>
      <c r="B12" s="16">
        <v>47</v>
      </c>
      <c r="C12" s="21" t="s">
        <v>159</v>
      </c>
      <c r="D12" s="16"/>
      <c r="E12" s="201"/>
      <c r="F12" s="21"/>
      <c r="G12" s="15" t="s">
        <v>68</v>
      </c>
      <c r="H12" s="20">
        <f>L12*K12</f>
        <v>0.10423458461538461</v>
      </c>
      <c r="I12" s="50"/>
      <c r="J12" s="50"/>
      <c r="K12" s="186">
        <v>0.92</v>
      </c>
      <c r="L12" s="20">
        <f>(O12+T12)*X12</f>
        <v>0.11329846153846153</v>
      </c>
      <c r="M12" s="128"/>
      <c r="N12" s="51"/>
      <c r="O12" s="67">
        <v>1.696</v>
      </c>
      <c r="P12" s="81">
        <v>26000</v>
      </c>
      <c r="Q12" s="81"/>
      <c r="R12" s="75"/>
      <c r="S12" s="80">
        <v>5000</v>
      </c>
      <c r="T12" s="67">
        <f>S12/P12</f>
        <v>0.19230769230769232</v>
      </c>
      <c r="U12" s="67"/>
      <c r="V12" s="75"/>
      <c r="W12" s="60">
        <v>1</v>
      </c>
      <c r="X12" s="40">
        <v>0.06</v>
      </c>
      <c r="Y12" s="16" t="s">
        <v>23</v>
      </c>
      <c r="Z12" s="21" t="s">
        <v>32</v>
      </c>
      <c r="AA12" s="21">
        <v>62</v>
      </c>
      <c r="AB12" s="8"/>
    </row>
    <row r="13" spans="1:28" ht="15.75" x14ac:dyDescent="0.3">
      <c r="A13" s="16" t="s">
        <v>32</v>
      </c>
      <c r="B13" s="16">
        <v>47</v>
      </c>
      <c r="C13" s="21" t="s">
        <v>107</v>
      </c>
      <c r="D13" s="16"/>
      <c r="E13" s="201"/>
      <c r="F13" s="21" t="s">
        <v>125</v>
      </c>
      <c r="G13" s="15" t="s">
        <v>68</v>
      </c>
      <c r="H13" s="20">
        <f>L13*K13</f>
        <v>0.11163138461538463</v>
      </c>
      <c r="I13" s="50"/>
      <c r="J13" s="50"/>
      <c r="K13" s="186">
        <v>0.92</v>
      </c>
      <c r="L13" s="20">
        <f>(O13+T13)*X13</f>
        <v>0.12133846153846155</v>
      </c>
      <c r="M13" s="128"/>
      <c r="N13" s="51"/>
      <c r="O13" s="67">
        <v>1.83</v>
      </c>
      <c r="P13" s="81">
        <v>26000</v>
      </c>
      <c r="Q13" s="81"/>
      <c r="R13" s="75"/>
      <c r="S13" s="80">
        <v>5000</v>
      </c>
      <c r="T13" s="67">
        <f>S13/P13</f>
        <v>0.19230769230769232</v>
      </c>
      <c r="U13" s="67"/>
      <c r="V13" s="75"/>
      <c r="W13" s="60">
        <v>1</v>
      </c>
      <c r="X13" s="40">
        <v>0.06</v>
      </c>
      <c r="Y13" s="16" t="s">
        <v>23</v>
      </c>
      <c r="Z13" s="21" t="s">
        <v>32</v>
      </c>
      <c r="AA13" s="21">
        <v>62</v>
      </c>
      <c r="AB13" s="8"/>
    </row>
    <row r="14" spans="1:28" ht="15.75" x14ac:dyDescent="0.3">
      <c r="A14" s="16"/>
      <c r="B14" s="16"/>
      <c r="C14" s="14" t="s">
        <v>132</v>
      </c>
      <c r="D14" s="16"/>
      <c r="E14" s="201"/>
      <c r="F14" s="14"/>
      <c r="G14" s="15"/>
      <c r="H14" s="30"/>
      <c r="I14" s="39"/>
      <c r="J14" s="39"/>
      <c r="K14" s="39"/>
      <c r="L14" s="39"/>
      <c r="M14" s="129"/>
      <c r="N14" s="31"/>
      <c r="O14" s="68"/>
      <c r="P14" s="68"/>
      <c r="Q14" s="68"/>
      <c r="R14" s="76"/>
      <c r="S14" s="65"/>
      <c r="T14" s="67"/>
      <c r="U14" s="67"/>
      <c r="V14" s="76"/>
      <c r="W14" s="31"/>
      <c r="X14" s="41"/>
      <c r="Y14" s="15"/>
      <c r="Z14" s="14"/>
      <c r="AA14" s="14"/>
      <c r="AB14" s="8"/>
    </row>
    <row r="15" spans="1:28" ht="15.75" x14ac:dyDescent="0.3">
      <c r="A15" s="16" t="s">
        <v>35</v>
      </c>
      <c r="B15" s="16">
        <v>2355</v>
      </c>
      <c r="C15" s="21" t="s">
        <v>133</v>
      </c>
      <c r="D15" s="16" t="s">
        <v>144</v>
      </c>
      <c r="E15" s="201"/>
      <c r="F15" s="143">
        <v>5.89</v>
      </c>
      <c r="G15" s="16" t="s">
        <v>18</v>
      </c>
      <c r="H15" s="20">
        <f>N15*X15</f>
        <v>0.14881</v>
      </c>
      <c r="I15" s="39">
        <v>1</v>
      </c>
      <c r="J15" s="39"/>
      <c r="K15" s="39"/>
      <c r="L15" s="39"/>
      <c r="M15" s="129"/>
      <c r="N15" s="18">
        <v>6.47</v>
      </c>
      <c r="O15" s="66"/>
      <c r="P15" s="66"/>
      <c r="Q15" s="66"/>
      <c r="R15" s="74"/>
      <c r="S15" s="64"/>
      <c r="T15" s="67"/>
      <c r="U15" s="67"/>
      <c r="V15" s="74"/>
      <c r="W15" s="18"/>
      <c r="X15" s="40">
        <v>2.3E-2</v>
      </c>
      <c r="Y15" s="16" t="s">
        <v>18</v>
      </c>
      <c r="Z15" s="21" t="s">
        <v>54</v>
      </c>
      <c r="AA15" s="21"/>
      <c r="AB15" s="8"/>
    </row>
    <row r="16" spans="1:28" s="5" customFormat="1" ht="15.75" x14ac:dyDescent="0.3">
      <c r="A16" s="16" t="s">
        <v>35</v>
      </c>
      <c r="B16" s="16">
        <v>1408</v>
      </c>
      <c r="C16" s="21" t="s">
        <v>70</v>
      </c>
      <c r="D16" s="144">
        <v>46119</v>
      </c>
      <c r="E16" s="144"/>
      <c r="F16" s="21">
        <v>3.7</v>
      </c>
      <c r="G16" s="16" t="s">
        <v>146</v>
      </c>
      <c r="H16" s="20">
        <f>N16*X16</f>
        <v>9.6600000000000005E-2</v>
      </c>
      <c r="I16" s="39"/>
      <c r="J16" s="39"/>
      <c r="K16" s="39"/>
      <c r="L16" s="39"/>
      <c r="M16" s="129"/>
      <c r="N16" s="18">
        <v>4.2</v>
      </c>
      <c r="O16" s="66"/>
      <c r="P16" s="66"/>
      <c r="Q16" s="66"/>
      <c r="R16" s="74"/>
      <c r="S16" s="64"/>
      <c r="T16" s="67"/>
      <c r="U16" s="67"/>
      <c r="V16" s="74"/>
      <c r="W16" s="18"/>
      <c r="X16" s="40">
        <v>2.3E-2</v>
      </c>
      <c r="Y16" s="16" t="s">
        <v>146</v>
      </c>
      <c r="Z16" s="21"/>
      <c r="AA16" s="21"/>
      <c r="AB16" s="28"/>
    </row>
    <row r="17" spans="1:28" ht="15.75" x14ac:dyDescent="0.3">
      <c r="A17" s="16"/>
      <c r="B17" s="16"/>
      <c r="C17" s="14" t="s">
        <v>21</v>
      </c>
      <c r="D17" s="16"/>
      <c r="E17" s="201"/>
      <c r="F17" s="14"/>
      <c r="G17" s="15"/>
      <c r="H17" s="30"/>
      <c r="I17" s="39">
        <v>1</v>
      </c>
      <c r="J17" s="39"/>
      <c r="K17" s="39"/>
      <c r="L17" s="39"/>
      <c r="M17" s="129"/>
      <c r="N17" s="31"/>
      <c r="O17" s="68"/>
      <c r="P17" s="68"/>
      <c r="Q17" s="68"/>
      <c r="R17" s="76"/>
      <c r="S17" s="65"/>
      <c r="T17" s="67"/>
      <c r="U17" s="67"/>
      <c r="V17" s="76"/>
      <c r="W17" s="31"/>
      <c r="X17" s="41"/>
      <c r="Y17" s="15"/>
      <c r="Z17" s="14"/>
      <c r="AA17" s="14"/>
      <c r="AB17" s="8"/>
    </row>
    <row r="18" spans="1:28" ht="15.75" x14ac:dyDescent="0.3">
      <c r="A18" s="16" t="s">
        <v>35</v>
      </c>
      <c r="B18" s="16">
        <v>2259</v>
      </c>
      <c r="C18" s="21" t="s">
        <v>44</v>
      </c>
      <c r="D18" s="144">
        <v>46119</v>
      </c>
      <c r="E18" s="144"/>
      <c r="F18" s="21">
        <v>5.35</v>
      </c>
      <c r="G18" s="16" t="s">
        <v>18</v>
      </c>
      <c r="H18" s="20">
        <f>N18*X18</f>
        <v>0.13524</v>
      </c>
      <c r="I18" s="39">
        <v>1</v>
      </c>
      <c r="J18" s="39"/>
      <c r="K18" s="39"/>
      <c r="L18" s="39"/>
      <c r="M18" s="129"/>
      <c r="N18" s="18">
        <v>5.88</v>
      </c>
      <c r="O18" s="66"/>
      <c r="P18" s="66"/>
      <c r="Q18" s="66"/>
      <c r="R18" s="74"/>
      <c r="S18" s="64"/>
      <c r="T18" s="67"/>
      <c r="U18" s="67"/>
      <c r="V18" s="74"/>
      <c r="W18" s="18"/>
      <c r="X18" s="40">
        <v>2.3E-2</v>
      </c>
      <c r="Y18" s="16" t="s">
        <v>18</v>
      </c>
      <c r="Z18" s="21" t="s">
        <v>36</v>
      </c>
      <c r="AA18" s="21"/>
      <c r="AB18" s="8"/>
    </row>
    <row r="19" spans="1:28" s="5" customFormat="1" ht="15.75" x14ac:dyDescent="0.3">
      <c r="A19" s="16" t="s">
        <v>34</v>
      </c>
      <c r="B19" s="16">
        <v>2028</v>
      </c>
      <c r="C19" s="21" t="s">
        <v>61</v>
      </c>
      <c r="D19" s="16"/>
      <c r="E19" s="201"/>
      <c r="F19" s="21"/>
      <c r="G19" s="16" t="s">
        <v>62</v>
      </c>
      <c r="H19" s="20">
        <f>N19*X19*K19</f>
        <v>7.546499999999999E-2</v>
      </c>
      <c r="I19" s="50"/>
      <c r="J19" s="50"/>
      <c r="K19" s="187">
        <v>1.075</v>
      </c>
      <c r="L19" s="20"/>
      <c r="M19" s="128"/>
      <c r="N19" s="51">
        <v>2.7</v>
      </c>
      <c r="O19" s="67"/>
      <c r="P19" s="81"/>
      <c r="Q19" s="81"/>
      <c r="R19" s="75"/>
      <c r="S19" s="80"/>
      <c r="T19" s="67"/>
      <c r="U19" s="67"/>
      <c r="V19" s="75"/>
      <c r="W19" s="60"/>
      <c r="X19" s="40">
        <v>2.5999999999999999E-2</v>
      </c>
      <c r="Y19" s="16" t="s">
        <v>62</v>
      </c>
      <c r="Z19" s="21"/>
      <c r="AA19" s="21"/>
      <c r="AB19" s="28"/>
    </row>
    <row r="20" spans="1:28" s="5" customFormat="1" ht="15.75" x14ac:dyDescent="0.3">
      <c r="A20" s="146" t="s">
        <v>34</v>
      </c>
      <c r="B20" s="146">
        <v>2028</v>
      </c>
      <c r="C20" s="21" t="s">
        <v>66</v>
      </c>
      <c r="D20" s="146"/>
      <c r="E20" s="201"/>
      <c r="F20" s="21"/>
      <c r="G20" s="146" t="s">
        <v>62</v>
      </c>
      <c r="H20" s="20">
        <f>N20*X20*K20</f>
        <v>7.546499999999999E-2</v>
      </c>
      <c r="I20" s="50"/>
      <c r="J20" s="50"/>
      <c r="K20" s="187">
        <v>1.075</v>
      </c>
      <c r="L20" s="20"/>
      <c r="M20" s="128"/>
      <c r="N20" s="51">
        <v>2.7</v>
      </c>
      <c r="O20" s="67"/>
      <c r="P20" s="81"/>
      <c r="Q20" s="81"/>
      <c r="R20" s="75"/>
      <c r="S20" s="80"/>
      <c r="T20" s="67"/>
      <c r="U20" s="67"/>
      <c r="V20" s="75"/>
      <c r="W20" s="60"/>
      <c r="X20" s="40">
        <v>2.5999999999999999E-2</v>
      </c>
      <c r="Y20" s="146" t="s">
        <v>62</v>
      </c>
      <c r="Z20" s="21"/>
      <c r="AA20" s="21"/>
      <c r="AB20" s="28"/>
    </row>
    <row r="21" spans="1:28" s="5" customFormat="1" ht="15" customHeight="1" x14ac:dyDescent="0.3">
      <c r="A21" s="16" t="s">
        <v>34</v>
      </c>
      <c r="B21" s="16">
        <v>2028</v>
      </c>
      <c r="C21" s="21" t="s">
        <v>147</v>
      </c>
      <c r="D21" s="16"/>
      <c r="E21" s="201"/>
      <c r="F21" s="21"/>
      <c r="G21" s="16" t="s">
        <v>62</v>
      </c>
      <c r="H21" s="20">
        <f>N21*X21*K21</f>
        <v>7.6894749999999998E-2</v>
      </c>
      <c r="I21" s="39">
        <v>1.0649999999999999</v>
      </c>
      <c r="J21" s="39"/>
      <c r="K21" s="187">
        <v>1.075</v>
      </c>
      <c r="L21" s="39"/>
      <c r="M21" s="129"/>
      <c r="N21" s="18">
        <v>3.11</v>
      </c>
      <c r="O21" s="66"/>
      <c r="P21" s="66"/>
      <c r="Q21" s="66"/>
      <c r="R21" s="74"/>
      <c r="S21" s="64"/>
      <c r="T21" s="67"/>
      <c r="U21" s="67"/>
      <c r="V21" s="74"/>
      <c r="W21" s="18"/>
      <c r="X21" s="40">
        <v>2.3E-2</v>
      </c>
      <c r="Y21" s="16" t="s">
        <v>62</v>
      </c>
      <c r="Z21" s="21"/>
      <c r="AA21" s="21"/>
      <c r="AB21" s="28"/>
    </row>
    <row r="22" spans="1:28" s="5" customFormat="1" ht="15" customHeight="1" x14ac:dyDescent="0.3">
      <c r="A22" s="16" t="s">
        <v>34</v>
      </c>
      <c r="B22" s="16">
        <v>2028</v>
      </c>
      <c r="C22" s="21" t="s">
        <v>69</v>
      </c>
      <c r="D22" s="16"/>
      <c r="E22" s="201"/>
      <c r="F22" s="21"/>
      <c r="G22" s="16" t="s">
        <v>62</v>
      </c>
      <c r="H22" s="20">
        <f>N22*X22*K22</f>
        <v>0.106984</v>
      </c>
      <c r="I22" s="39">
        <v>1.0649999999999999</v>
      </c>
      <c r="J22" s="39"/>
      <c r="K22" s="187">
        <v>1.075</v>
      </c>
      <c r="L22" s="39"/>
      <c r="M22" s="129"/>
      <c r="N22" s="18">
        <v>3.11</v>
      </c>
      <c r="O22" s="66"/>
      <c r="P22" s="66"/>
      <c r="Q22" s="66"/>
      <c r="R22" s="74"/>
      <c r="S22" s="64"/>
      <c r="T22" s="67"/>
      <c r="U22" s="67"/>
      <c r="V22" s="74"/>
      <c r="W22" s="18"/>
      <c r="X22" s="40">
        <v>3.2000000000000001E-2</v>
      </c>
      <c r="Y22" s="16" t="s">
        <v>62</v>
      </c>
      <c r="Z22" s="21"/>
      <c r="AA22" s="21"/>
      <c r="AB22" s="28"/>
    </row>
    <row r="23" spans="1:28" s="5" customFormat="1" ht="15" customHeight="1" x14ac:dyDescent="0.3">
      <c r="A23" s="195" t="s">
        <v>34</v>
      </c>
      <c r="B23" s="195" t="s">
        <v>189</v>
      </c>
      <c r="C23" s="21" t="s">
        <v>190</v>
      </c>
      <c r="D23" s="195"/>
      <c r="E23" s="201"/>
      <c r="F23" s="21"/>
      <c r="G23" s="195" t="s">
        <v>96</v>
      </c>
      <c r="H23" s="20">
        <f>N23*X23</f>
        <v>7.2599999999999998E-2</v>
      </c>
      <c r="I23" s="39">
        <v>1.0649999999999999</v>
      </c>
      <c r="J23" s="39"/>
      <c r="K23" s="187"/>
      <c r="L23" s="39"/>
      <c r="M23" s="129"/>
      <c r="N23" s="18">
        <v>3.3</v>
      </c>
      <c r="O23" s="66"/>
      <c r="P23" s="66"/>
      <c r="Q23" s="66"/>
      <c r="R23" s="74"/>
      <c r="S23" s="64"/>
      <c r="T23" s="67"/>
      <c r="U23" s="67"/>
      <c r="V23" s="74"/>
      <c r="W23" s="18"/>
      <c r="X23" s="40">
        <v>2.1999999999999999E-2</v>
      </c>
      <c r="Y23" s="195" t="s">
        <v>62</v>
      </c>
      <c r="Z23" s="21"/>
      <c r="AA23" s="21"/>
      <c r="AB23" s="28"/>
    </row>
    <row r="24" spans="1:28" s="5" customFormat="1" ht="15" customHeight="1" x14ac:dyDescent="0.3">
      <c r="A24" s="16"/>
      <c r="B24" s="16"/>
      <c r="C24" s="14" t="s">
        <v>134</v>
      </c>
      <c r="D24" s="16"/>
      <c r="E24" s="201"/>
      <c r="F24" s="21"/>
      <c r="G24" s="16"/>
      <c r="H24" s="20"/>
      <c r="I24" s="39"/>
      <c r="J24" s="39"/>
      <c r="K24" s="39"/>
      <c r="L24" s="39"/>
      <c r="M24" s="129"/>
      <c r="N24" s="18"/>
      <c r="O24" s="66"/>
      <c r="P24" s="66"/>
      <c r="Q24" s="66"/>
      <c r="R24" s="74"/>
      <c r="S24" s="64"/>
      <c r="T24" s="67"/>
      <c r="U24" s="67"/>
      <c r="V24" s="74"/>
      <c r="W24" s="18"/>
      <c r="X24" s="40"/>
      <c r="Y24" s="16"/>
      <c r="Z24" s="21"/>
      <c r="AA24" s="21"/>
      <c r="AB24" s="28"/>
    </row>
    <row r="25" spans="1:28" s="5" customFormat="1" ht="16.5" customHeight="1" x14ac:dyDescent="0.3">
      <c r="A25" s="16" t="s">
        <v>34</v>
      </c>
      <c r="B25" s="16" t="s">
        <v>115</v>
      </c>
      <c r="C25" s="21" t="s">
        <v>116</v>
      </c>
      <c r="D25" s="208" t="s">
        <v>131</v>
      </c>
      <c r="E25" s="208"/>
      <c r="F25" s="208"/>
      <c r="G25" s="16" t="s">
        <v>62</v>
      </c>
      <c r="H25" s="20">
        <f>N25*X25*K25</f>
        <v>5.8694999999999997E-2</v>
      </c>
      <c r="I25" s="39">
        <v>1.0649999999999999</v>
      </c>
      <c r="J25" s="39"/>
      <c r="K25" s="187">
        <v>1.075</v>
      </c>
      <c r="L25" s="39"/>
      <c r="M25" s="129"/>
      <c r="N25" s="18">
        <v>2.73</v>
      </c>
      <c r="O25" s="66"/>
      <c r="P25" s="66"/>
      <c r="Q25" s="66"/>
      <c r="R25" s="74"/>
      <c r="S25" s="64"/>
      <c r="T25" s="67"/>
      <c r="U25" s="67"/>
      <c r="V25" s="74"/>
      <c r="W25" s="18"/>
      <c r="X25" s="40">
        <v>0.02</v>
      </c>
      <c r="Y25" s="16" t="s">
        <v>62</v>
      </c>
      <c r="Z25" s="21"/>
      <c r="AA25" s="21"/>
      <c r="AB25" s="28"/>
    </row>
    <row r="26" spans="1:28" s="5" customFormat="1" ht="15" customHeight="1" x14ac:dyDescent="0.3">
      <c r="A26" s="142" t="s">
        <v>34</v>
      </c>
      <c r="B26" s="142" t="s">
        <v>115</v>
      </c>
      <c r="C26" s="21" t="s">
        <v>143</v>
      </c>
      <c r="D26" s="208" t="s">
        <v>131</v>
      </c>
      <c r="E26" s="208"/>
      <c r="F26" s="208"/>
      <c r="G26" s="142" t="s">
        <v>62</v>
      </c>
      <c r="H26" s="20">
        <f>N26*X26*K26</f>
        <v>6.7499249999999997E-2</v>
      </c>
      <c r="I26" s="39">
        <v>1.0649999999999999</v>
      </c>
      <c r="J26" s="39"/>
      <c r="K26" s="187">
        <v>1.075</v>
      </c>
      <c r="L26" s="39"/>
      <c r="M26" s="129"/>
      <c r="N26" s="18">
        <v>2.73</v>
      </c>
      <c r="O26" s="66"/>
      <c r="P26" s="66"/>
      <c r="Q26" s="66"/>
      <c r="R26" s="74"/>
      <c r="S26" s="64"/>
      <c r="T26" s="67"/>
      <c r="U26" s="67"/>
      <c r="V26" s="74"/>
      <c r="W26" s="18"/>
      <c r="X26" s="40">
        <v>2.3E-2</v>
      </c>
      <c r="Y26" s="142" t="s">
        <v>62</v>
      </c>
      <c r="Z26" s="21"/>
      <c r="AA26" s="21"/>
      <c r="AB26" s="28"/>
    </row>
    <row r="27" spans="1:28" s="5" customFormat="1" ht="15" customHeight="1" x14ac:dyDescent="0.3">
      <c r="A27" s="16" t="s">
        <v>34</v>
      </c>
      <c r="B27" s="16" t="s">
        <v>115</v>
      </c>
      <c r="C27" s="21" t="s">
        <v>117</v>
      </c>
      <c r="D27" s="208" t="s">
        <v>131</v>
      </c>
      <c r="E27" s="208"/>
      <c r="F27" s="208"/>
      <c r="G27" s="16" t="s">
        <v>62</v>
      </c>
      <c r="H27" s="20">
        <f>N27*X27*K27</f>
        <v>7.6303499999999996E-2</v>
      </c>
      <c r="I27" s="39">
        <v>1.0649999999999999</v>
      </c>
      <c r="J27" s="39"/>
      <c r="K27" s="187">
        <v>1.075</v>
      </c>
      <c r="L27" s="39"/>
      <c r="M27" s="129"/>
      <c r="N27" s="18">
        <v>2.73</v>
      </c>
      <c r="O27" s="66"/>
      <c r="P27" s="66"/>
      <c r="Q27" s="66"/>
      <c r="R27" s="74"/>
      <c r="S27" s="64"/>
      <c r="T27" s="67"/>
      <c r="U27" s="67"/>
      <c r="V27" s="74"/>
      <c r="W27" s="18"/>
      <c r="X27" s="40">
        <v>2.5999999999999999E-2</v>
      </c>
      <c r="Y27" s="16" t="s">
        <v>62</v>
      </c>
      <c r="Z27" s="21"/>
      <c r="AA27" s="21"/>
      <c r="AB27" s="28"/>
    </row>
    <row r="28" spans="1:28" s="5" customFormat="1" ht="15" customHeight="1" x14ac:dyDescent="0.3">
      <c r="A28" s="194" t="s">
        <v>34</v>
      </c>
      <c r="B28" s="194" t="s">
        <v>115</v>
      </c>
      <c r="C28" s="21" t="s">
        <v>183</v>
      </c>
      <c r="D28" s="208" t="s">
        <v>131</v>
      </c>
      <c r="E28" s="208"/>
      <c r="F28" s="208"/>
      <c r="G28" s="194" t="s">
        <v>62</v>
      </c>
      <c r="H28" s="20">
        <f>N28*X28*K28</f>
        <v>0.12325950000000001</v>
      </c>
      <c r="I28" s="39">
        <v>1.0649999999999999</v>
      </c>
      <c r="J28" s="39"/>
      <c r="K28" s="187">
        <v>1.075</v>
      </c>
      <c r="L28" s="39"/>
      <c r="M28" s="129"/>
      <c r="N28" s="18">
        <v>2.73</v>
      </c>
      <c r="O28" s="66"/>
      <c r="P28" s="66"/>
      <c r="Q28" s="66"/>
      <c r="R28" s="74"/>
      <c r="S28" s="64"/>
      <c r="T28" s="67"/>
      <c r="U28" s="67"/>
      <c r="V28" s="74"/>
      <c r="W28" s="18"/>
      <c r="X28" s="40">
        <v>4.2000000000000003E-2</v>
      </c>
      <c r="Y28" s="194" t="s">
        <v>62</v>
      </c>
      <c r="Z28" s="21"/>
      <c r="AA28" s="21"/>
      <c r="AB28" s="28"/>
    </row>
    <row r="29" spans="1:28" s="5" customFormat="1" ht="15" customHeight="1" x14ac:dyDescent="0.3">
      <c r="A29" s="195"/>
      <c r="B29" s="195" t="s">
        <v>187</v>
      </c>
      <c r="C29" s="21" t="s">
        <v>184</v>
      </c>
      <c r="D29" s="195"/>
      <c r="E29" s="201"/>
      <c r="F29" s="195"/>
      <c r="G29" s="195" t="s">
        <v>96</v>
      </c>
      <c r="H29" s="20">
        <f>N29*X29</f>
        <v>5.3400000000000003E-2</v>
      </c>
      <c r="I29" s="39"/>
      <c r="J29" s="39"/>
      <c r="K29" s="187"/>
      <c r="L29" s="39"/>
      <c r="M29" s="129"/>
      <c r="N29" s="18">
        <v>2.67</v>
      </c>
      <c r="O29" s="66"/>
      <c r="P29" s="66"/>
      <c r="Q29" s="66"/>
      <c r="R29" s="74"/>
      <c r="S29" s="64"/>
      <c r="T29" s="67"/>
      <c r="U29" s="67"/>
      <c r="V29" s="74"/>
      <c r="W29" s="18"/>
      <c r="X29" s="40">
        <v>0.02</v>
      </c>
      <c r="Y29" s="195" t="s">
        <v>96</v>
      </c>
      <c r="Z29" s="21"/>
      <c r="AA29" s="21"/>
      <c r="AB29" s="28"/>
    </row>
    <row r="30" spans="1:28" s="5" customFormat="1" ht="15" customHeight="1" x14ac:dyDescent="0.3">
      <c r="A30" s="195"/>
      <c r="B30" s="195" t="s">
        <v>187</v>
      </c>
      <c r="C30" s="21" t="s">
        <v>185</v>
      </c>
      <c r="D30" s="195"/>
      <c r="E30" s="201"/>
      <c r="F30" s="195"/>
      <c r="G30" s="195" t="s">
        <v>96</v>
      </c>
      <c r="H30" s="20">
        <f>N30*X30</f>
        <v>6.1409999999999999E-2</v>
      </c>
      <c r="I30" s="39"/>
      <c r="J30" s="39"/>
      <c r="K30" s="187"/>
      <c r="L30" s="39"/>
      <c r="M30" s="129"/>
      <c r="N30" s="18">
        <v>2.67</v>
      </c>
      <c r="O30" s="66"/>
      <c r="P30" s="66"/>
      <c r="Q30" s="66"/>
      <c r="R30" s="74"/>
      <c r="S30" s="64"/>
      <c r="T30" s="67"/>
      <c r="U30" s="67"/>
      <c r="V30" s="74"/>
      <c r="W30" s="18"/>
      <c r="X30" s="40">
        <v>2.3E-2</v>
      </c>
      <c r="Y30" s="195" t="s">
        <v>96</v>
      </c>
      <c r="Z30" s="21"/>
      <c r="AA30" s="21"/>
      <c r="AB30" s="28"/>
    </row>
    <row r="31" spans="1:28" s="5" customFormat="1" ht="15" customHeight="1" x14ac:dyDescent="0.3">
      <c r="A31" s="195"/>
      <c r="B31" s="195" t="s">
        <v>186</v>
      </c>
      <c r="C31" s="21" t="s">
        <v>186</v>
      </c>
      <c r="D31" s="195"/>
      <c r="E31" s="201"/>
      <c r="F31" s="195"/>
      <c r="G31" s="195" t="s">
        <v>96</v>
      </c>
      <c r="H31" s="20">
        <f>N31*X31</f>
        <v>5.9000000000000004E-2</v>
      </c>
      <c r="I31" s="39"/>
      <c r="J31" s="39"/>
      <c r="K31" s="187"/>
      <c r="L31" s="39"/>
      <c r="M31" s="129"/>
      <c r="N31" s="18">
        <v>2.95</v>
      </c>
      <c r="O31" s="66"/>
      <c r="P31" s="66"/>
      <c r="Q31" s="66"/>
      <c r="R31" s="74"/>
      <c r="S31" s="64"/>
      <c r="T31" s="67"/>
      <c r="U31" s="67"/>
      <c r="V31" s="74"/>
      <c r="W31" s="18"/>
      <c r="X31" s="40">
        <v>0.02</v>
      </c>
      <c r="Y31" s="195" t="s">
        <v>96</v>
      </c>
      <c r="Z31" s="21"/>
      <c r="AA31" s="21"/>
      <c r="AB31" s="28"/>
    </row>
    <row r="32" spans="1:28" s="5" customFormat="1" ht="15" customHeight="1" x14ac:dyDescent="0.3">
      <c r="A32" s="195"/>
      <c r="B32" s="195"/>
      <c r="C32" s="21"/>
      <c r="D32" s="195"/>
      <c r="E32" s="201"/>
      <c r="F32" s="195"/>
      <c r="G32" s="195"/>
      <c r="H32" s="20"/>
      <c r="I32" s="39"/>
      <c r="J32" s="39"/>
      <c r="K32" s="187"/>
      <c r="L32" s="39"/>
      <c r="M32" s="129"/>
      <c r="N32" s="18"/>
      <c r="O32" s="66"/>
      <c r="P32" s="66"/>
      <c r="Q32" s="66"/>
      <c r="R32" s="74"/>
      <c r="S32" s="64"/>
      <c r="T32" s="67"/>
      <c r="U32" s="67"/>
      <c r="V32" s="74"/>
      <c r="W32" s="18"/>
      <c r="X32" s="40"/>
      <c r="Y32" s="195"/>
      <c r="Z32" s="21"/>
      <c r="AA32" s="21"/>
      <c r="AB32" s="28"/>
    </row>
    <row r="33" spans="1:28" s="5" customFormat="1" ht="15.75" x14ac:dyDescent="0.3">
      <c r="A33" s="16"/>
      <c r="B33" s="16"/>
      <c r="C33" s="14" t="s">
        <v>135</v>
      </c>
      <c r="D33" s="16"/>
      <c r="E33" s="201"/>
      <c r="F33" s="21"/>
      <c r="G33" s="16"/>
      <c r="H33" s="20"/>
      <c r="I33" s="39"/>
      <c r="J33" s="39"/>
      <c r="K33" s="39"/>
      <c r="L33" s="39"/>
      <c r="M33" s="129"/>
      <c r="N33" s="18"/>
      <c r="O33" s="67"/>
      <c r="P33" s="81"/>
      <c r="Q33" s="81"/>
      <c r="R33" s="75"/>
      <c r="S33" s="80"/>
      <c r="T33" s="67"/>
      <c r="U33" s="67"/>
      <c r="V33" s="75"/>
      <c r="W33" s="60"/>
      <c r="X33" s="40"/>
      <c r="Y33" s="16"/>
      <c r="Z33" s="21"/>
      <c r="AA33" s="21"/>
      <c r="AB33" s="28"/>
    </row>
    <row r="34" spans="1:28" s="5" customFormat="1" ht="15.75" x14ac:dyDescent="0.3">
      <c r="A34" s="16" t="s">
        <v>34</v>
      </c>
      <c r="B34" s="16">
        <v>2288</v>
      </c>
      <c r="C34" s="21" t="s">
        <v>112</v>
      </c>
      <c r="D34" s="16"/>
      <c r="E34" s="201"/>
      <c r="F34" s="21"/>
      <c r="G34" s="16" t="s">
        <v>62</v>
      </c>
      <c r="H34" s="20">
        <f>(N34+T34)*X34</f>
        <v>0.16005</v>
      </c>
      <c r="I34" s="50"/>
      <c r="J34" s="50"/>
      <c r="K34" s="187">
        <v>1.075</v>
      </c>
      <c r="L34" s="50"/>
      <c r="M34" s="128"/>
      <c r="N34" s="51">
        <v>2.91</v>
      </c>
      <c r="O34" s="67"/>
      <c r="P34" s="81">
        <v>26000</v>
      </c>
      <c r="Q34" s="81"/>
      <c r="R34" s="75"/>
      <c r="S34" s="80"/>
      <c r="T34" s="67"/>
      <c r="U34" s="67"/>
      <c r="V34" s="75"/>
      <c r="W34" s="60"/>
      <c r="X34" s="40">
        <v>5.5E-2</v>
      </c>
      <c r="Y34" s="16" t="s">
        <v>62</v>
      </c>
      <c r="Z34" s="21"/>
      <c r="AA34" s="21"/>
      <c r="AB34" s="28"/>
    </row>
    <row r="35" spans="1:28" s="5" customFormat="1" ht="15.75" x14ac:dyDescent="0.3">
      <c r="A35" s="16" t="s">
        <v>34</v>
      </c>
      <c r="B35" s="16">
        <v>2288</v>
      </c>
      <c r="C35" s="21" t="s">
        <v>73</v>
      </c>
      <c r="D35" s="16"/>
      <c r="E35" s="201"/>
      <c r="F35" s="21"/>
      <c r="G35" s="16" t="s">
        <v>62</v>
      </c>
      <c r="H35" s="20">
        <f>(N35+T35)*X35</f>
        <v>7.5660000000000005E-2</v>
      </c>
      <c r="I35" s="39">
        <v>1.0649999999999999</v>
      </c>
      <c r="J35" s="39"/>
      <c r="K35" s="187">
        <v>1.075</v>
      </c>
      <c r="L35" s="39"/>
      <c r="M35" s="129"/>
      <c r="N35" s="18">
        <v>2.91</v>
      </c>
      <c r="O35" s="66"/>
      <c r="P35" s="66"/>
      <c r="Q35" s="66"/>
      <c r="R35" s="74"/>
      <c r="S35" s="64"/>
      <c r="T35" s="67"/>
      <c r="U35" s="67"/>
      <c r="V35" s="74"/>
      <c r="W35" s="18"/>
      <c r="X35" s="40">
        <v>2.5999999999999999E-2</v>
      </c>
      <c r="Y35" s="16" t="s">
        <v>62</v>
      </c>
      <c r="Z35" s="21"/>
      <c r="AA35" s="21"/>
      <c r="AB35" s="28"/>
    </row>
    <row r="36" spans="1:28" s="5" customFormat="1" ht="15.75" x14ac:dyDescent="0.3">
      <c r="A36" s="16" t="s">
        <v>34</v>
      </c>
      <c r="B36" s="16">
        <v>1401</v>
      </c>
      <c r="C36" s="21" t="s">
        <v>188</v>
      </c>
      <c r="D36" s="16"/>
      <c r="E36" s="201"/>
      <c r="F36" s="21"/>
      <c r="G36" s="16" t="s">
        <v>96</v>
      </c>
      <c r="H36" s="20">
        <f>N36*X36</f>
        <v>0.16994999999999999</v>
      </c>
      <c r="I36" s="39"/>
      <c r="J36" s="39"/>
      <c r="K36" s="39"/>
      <c r="L36" s="39"/>
      <c r="M36" s="129"/>
      <c r="N36" s="18">
        <v>3.09</v>
      </c>
      <c r="O36" s="66"/>
      <c r="P36" s="66"/>
      <c r="Q36" s="66"/>
      <c r="R36" s="74"/>
      <c r="S36" s="64"/>
      <c r="T36" s="67"/>
      <c r="U36" s="67"/>
      <c r="V36" s="74"/>
      <c r="W36" s="18"/>
      <c r="X36" s="40">
        <v>5.5E-2</v>
      </c>
      <c r="Y36" s="16"/>
      <c r="Z36" s="21"/>
      <c r="AA36" s="21"/>
      <c r="AB36" s="28"/>
    </row>
    <row r="37" spans="1:28" ht="15.75" x14ac:dyDescent="0.3">
      <c r="A37" s="16"/>
      <c r="B37" s="16"/>
      <c r="C37" s="14" t="s">
        <v>136</v>
      </c>
      <c r="D37" s="16"/>
      <c r="E37" s="201"/>
      <c r="F37" s="14"/>
      <c r="G37" s="16"/>
      <c r="H37" s="20"/>
      <c r="I37" s="20"/>
      <c r="J37" s="20"/>
      <c r="K37" s="20"/>
      <c r="L37" s="20"/>
      <c r="M37" s="127"/>
      <c r="N37" s="18"/>
      <c r="O37" s="66"/>
      <c r="P37" s="66"/>
      <c r="Q37" s="66"/>
      <c r="R37" s="74"/>
      <c r="S37" s="64"/>
      <c r="T37" s="67"/>
      <c r="U37" s="67"/>
      <c r="V37" s="74"/>
      <c r="W37" s="18"/>
      <c r="X37" s="40"/>
      <c r="Y37" s="16"/>
      <c r="Z37" s="21"/>
      <c r="AA37" s="21"/>
      <c r="AB37" s="8"/>
    </row>
    <row r="38" spans="1:28" s="57" customFormat="1" ht="15.75" x14ac:dyDescent="0.3">
      <c r="A38" s="16" t="s">
        <v>31</v>
      </c>
      <c r="B38" s="16">
        <v>70</v>
      </c>
      <c r="C38" s="21" t="s">
        <v>97</v>
      </c>
      <c r="D38" s="16"/>
      <c r="E38" s="201"/>
      <c r="F38" s="21"/>
      <c r="G38" s="16" t="s">
        <v>51</v>
      </c>
      <c r="H38" s="20">
        <f>N38*X38</f>
        <v>8.9760000000000006E-2</v>
      </c>
      <c r="I38" s="20"/>
      <c r="J38" s="20"/>
      <c r="K38" s="20"/>
      <c r="L38" s="20"/>
      <c r="M38" s="127"/>
      <c r="N38" s="18">
        <v>1.32</v>
      </c>
      <c r="O38" s="66"/>
      <c r="P38" s="66"/>
      <c r="Q38" s="66"/>
      <c r="R38" s="74"/>
      <c r="S38" s="64"/>
      <c r="T38" s="67"/>
      <c r="U38" s="67"/>
      <c r="V38" s="74"/>
      <c r="W38" s="18"/>
      <c r="X38" s="40">
        <v>6.8000000000000005E-2</v>
      </c>
      <c r="Y38" s="16" t="s">
        <v>25</v>
      </c>
      <c r="Z38" s="16" t="s">
        <v>55</v>
      </c>
      <c r="AA38" s="21"/>
      <c r="AB38" s="8"/>
    </row>
    <row r="39" spans="1:28" ht="15.75" x14ac:dyDescent="0.3">
      <c r="A39" s="16" t="s">
        <v>31</v>
      </c>
      <c r="B39" s="16">
        <v>70</v>
      </c>
      <c r="C39" s="21" t="s">
        <v>82</v>
      </c>
      <c r="D39" s="16"/>
      <c r="E39" s="201"/>
      <c r="F39" s="21"/>
      <c r="G39" s="16" t="s">
        <v>65</v>
      </c>
      <c r="H39" s="20">
        <v>0.28000000000000003</v>
      </c>
      <c r="I39" s="20"/>
      <c r="J39" s="20"/>
      <c r="K39" s="20"/>
      <c r="L39" s="20"/>
      <c r="M39" s="127"/>
      <c r="N39" s="18"/>
      <c r="O39" s="66"/>
      <c r="P39" s="66"/>
      <c r="Q39" s="66"/>
      <c r="R39" s="74"/>
      <c r="S39" s="64"/>
      <c r="T39" s="67"/>
      <c r="U39" s="67"/>
      <c r="V39" s="74"/>
      <c r="W39" s="18"/>
      <c r="X39" s="40"/>
      <c r="Y39" s="16"/>
      <c r="Z39" s="16"/>
      <c r="AA39" s="21"/>
      <c r="AB39" s="8"/>
    </row>
    <row r="40" spans="1:28" s="145" customFormat="1" ht="15.75" x14ac:dyDescent="0.3">
      <c r="A40" s="146"/>
      <c r="B40" s="146"/>
      <c r="C40" s="21"/>
      <c r="D40" s="146"/>
      <c r="E40" s="201"/>
      <c r="F40" s="21"/>
      <c r="G40" s="146"/>
      <c r="H40" s="20"/>
      <c r="I40" s="20"/>
      <c r="J40" s="20"/>
      <c r="K40" s="20"/>
      <c r="L40" s="20"/>
      <c r="M40" s="127"/>
      <c r="N40" s="18"/>
      <c r="O40" s="66"/>
      <c r="P40" s="66"/>
      <c r="Q40" s="66"/>
      <c r="R40" s="74"/>
      <c r="S40" s="64"/>
      <c r="T40" s="67"/>
      <c r="U40" s="67"/>
      <c r="V40" s="74"/>
      <c r="W40" s="18"/>
      <c r="X40" s="40"/>
      <c r="Y40" s="146"/>
      <c r="Z40" s="146"/>
      <c r="AA40" s="21"/>
      <c r="AB40" s="8"/>
    </row>
    <row r="41" spans="1:28" ht="15.75" x14ac:dyDescent="0.3">
      <c r="A41" s="16"/>
      <c r="B41" s="16"/>
      <c r="C41" s="14" t="s">
        <v>137</v>
      </c>
      <c r="D41" s="16"/>
      <c r="E41" s="201"/>
      <c r="F41" s="21"/>
      <c r="G41" s="16"/>
      <c r="H41" s="20"/>
      <c r="I41" s="20"/>
      <c r="J41" s="20"/>
      <c r="K41" s="20"/>
      <c r="L41" s="20"/>
      <c r="M41" s="127"/>
      <c r="N41" s="18"/>
      <c r="O41" s="66"/>
      <c r="P41" s="66"/>
      <c r="Q41" s="66"/>
      <c r="R41" s="74"/>
      <c r="S41" s="64"/>
      <c r="T41" s="67"/>
      <c r="U41" s="67"/>
      <c r="V41" s="74"/>
      <c r="W41" s="18"/>
      <c r="X41" s="40"/>
      <c r="Y41" s="16"/>
      <c r="Z41" s="16"/>
      <c r="AA41" s="21"/>
      <c r="AB41" s="8"/>
    </row>
    <row r="42" spans="1:28" s="5" customFormat="1" ht="15.75" x14ac:dyDescent="0.3">
      <c r="A42" s="16" t="s">
        <v>36</v>
      </c>
      <c r="B42" s="16">
        <v>80</v>
      </c>
      <c r="C42" s="22" t="s">
        <v>83</v>
      </c>
      <c r="D42" s="16"/>
      <c r="E42" s="201"/>
      <c r="F42" s="24"/>
      <c r="G42" s="23" t="s">
        <v>67</v>
      </c>
      <c r="H42" s="20">
        <f>N42*X42</f>
        <v>8.8800000000000004E-2</v>
      </c>
      <c r="I42" s="20"/>
      <c r="J42" s="20"/>
      <c r="K42" s="20"/>
      <c r="L42" s="20"/>
      <c r="M42" s="127"/>
      <c r="N42" s="18">
        <v>1.1100000000000001</v>
      </c>
      <c r="O42" s="66"/>
      <c r="P42" s="66"/>
      <c r="Q42" s="66"/>
      <c r="R42" s="74"/>
      <c r="S42" s="64"/>
      <c r="T42" s="67"/>
      <c r="U42" s="67"/>
      <c r="V42" s="74"/>
      <c r="W42" s="18"/>
      <c r="X42" s="40">
        <v>0.08</v>
      </c>
      <c r="Y42" s="23"/>
      <c r="Z42" s="21" t="s">
        <v>56</v>
      </c>
      <c r="AA42" s="24"/>
      <c r="AB42" s="28"/>
    </row>
    <row r="43" spans="1:28" s="5" customFormat="1" ht="15.75" x14ac:dyDescent="0.3">
      <c r="A43" s="146" t="s">
        <v>36</v>
      </c>
      <c r="B43" s="146">
        <v>115</v>
      </c>
      <c r="C43" s="24" t="s">
        <v>155</v>
      </c>
      <c r="D43" s="146"/>
      <c r="E43" s="201"/>
      <c r="F43" s="24"/>
      <c r="G43" s="23"/>
      <c r="H43" s="20">
        <v>0.15</v>
      </c>
      <c r="I43" s="20"/>
      <c r="J43" s="20"/>
      <c r="K43" s="20"/>
      <c r="L43" s="20"/>
      <c r="M43" s="127"/>
      <c r="N43" s="18"/>
      <c r="O43" s="66"/>
      <c r="P43" s="66"/>
      <c r="Q43" s="66"/>
      <c r="R43" s="74"/>
      <c r="S43" s="64"/>
      <c r="T43" s="67"/>
      <c r="U43" s="67"/>
      <c r="V43" s="74"/>
      <c r="W43" s="18"/>
      <c r="X43" s="40"/>
      <c r="Y43" s="23"/>
      <c r="Z43" s="21"/>
      <c r="AA43" s="24"/>
      <c r="AB43" s="28"/>
    </row>
    <row r="44" spans="1:28" s="5" customFormat="1" ht="15.75" x14ac:dyDescent="0.3">
      <c r="A44" s="146"/>
      <c r="B44" s="146"/>
      <c r="C44" s="24"/>
      <c r="D44" s="146"/>
      <c r="E44" s="201"/>
      <c r="F44" s="24"/>
      <c r="G44" s="23"/>
      <c r="H44" s="20"/>
      <c r="I44" s="20"/>
      <c r="J44" s="20"/>
      <c r="K44" s="20"/>
      <c r="L44" s="20"/>
      <c r="M44" s="127"/>
      <c r="N44" s="18"/>
      <c r="O44" s="66"/>
      <c r="P44" s="66"/>
      <c r="Q44" s="66"/>
      <c r="R44" s="74"/>
      <c r="S44" s="64"/>
      <c r="T44" s="67"/>
      <c r="U44" s="67"/>
      <c r="V44" s="74"/>
      <c r="W44" s="18"/>
      <c r="X44" s="40"/>
      <c r="Y44" s="23"/>
      <c r="Z44" s="21"/>
      <c r="AA44" s="24"/>
      <c r="AB44" s="28"/>
    </row>
    <row r="45" spans="1:28" ht="15.75" x14ac:dyDescent="0.3">
      <c r="A45" s="16"/>
      <c r="B45" s="16"/>
      <c r="C45" s="14" t="s">
        <v>138</v>
      </c>
      <c r="D45" s="16"/>
      <c r="E45" s="201"/>
      <c r="F45" s="14"/>
      <c r="G45" s="15"/>
      <c r="H45" s="30"/>
      <c r="I45" s="30"/>
      <c r="J45" s="30"/>
      <c r="K45" s="30"/>
      <c r="L45" s="117"/>
      <c r="M45" s="131"/>
      <c r="N45" s="31"/>
      <c r="O45" s="68"/>
      <c r="P45" s="68"/>
      <c r="Q45" s="68"/>
      <c r="R45" s="76"/>
      <c r="S45" s="65"/>
      <c r="T45" s="67"/>
      <c r="U45" s="67"/>
      <c r="V45" s="76"/>
      <c r="W45" s="59"/>
      <c r="X45" s="41"/>
      <c r="Y45" s="15"/>
      <c r="Z45" s="14"/>
      <c r="AA45" s="14"/>
      <c r="AB45" s="8"/>
    </row>
    <row r="46" spans="1:28" s="5" customFormat="1" ht="15.75" x14ac:dyDescent="0.3">
      <c r="A46" s="16" t="s">
        <v>37</v>
      </c>
      <c r="B46" s="16">
        <v>70</v>
      </c>
      <c r="C46" s="21" t="s">
        <v>86</v>
      </c>
      <c r="D46" s="16"/>
      <c r="E46" s="201"/>
      <c r="F46" s="21"/>
      <c r="G46" s="16" t="s">
        <v>24</v>
      </c>
      <c r="H46" s="20">
        <v>0.14799999999999999</v>
      </c>
      <c r="I46" s="20">
        <v>1.2999999999999999E-2</v>
      </c>
      <c r="J46" s="20"/>
      <c r="K46" s="20"/>
      <c r="L46" s="116"/>
      <c r="M46" s="130"/>
      <c r="N46" s="18">
        <v>0.14099999999999999</v>
      </c>
      <c r="O46" s="66"/>
      <c r="P46" s="66"/>
      <c r="Q46" s="66"/>
      <c r="R46" s="74"/>
      <c r="S46" s="64"/>
      <c r="T46" s="67"/>
      <c r="U46" s="67"/>
      <c r="V46" s="74"/>
      <c r="W46" s="58"/>
      <c r="X46" s="40">
        <v>1</v>
      </c>
      <c r="Y46" s="16" t="s">
        <v>24</v>
      </c>
      <c r="Z46" s="21" t="s">
        <v>57</v>
      </c>
      <c r="AA46" s="21"/>
      <c r="AB46" s="28"/>
    </row>
    <row r="47" spans="1:28" s="54" customFormat="1" ht="15.75" x14ac:dyDescent="0.3">
      <c r="A47" s="48" t="s">
        <v>38</v>
      </c>
      <c r="B47" s="48">
        <v>75</v>
      </c>
      <c r="C47" s="56" t="s">
        <v>105</v>
      </c>
      <c r="D47" s="48"/>
      <c r="E47" s="48"/>
      <c r="F47" s="56"/>
      <c r="G47" s="48" t="s">
        <v>139</v>
      </c>
      <c r="H47" s="20">
        <v>0.14799999999999999</v>
      </c>
      <c r="I47" s="50"/>
      <c r="J47" s="50"/>
      <c r="K47" s="50"/>
      <c r="L47" s="118"/>
      <c r="M47" s="132"/>
      <c r="N47" s="51"/>
      <c r="O47" s="67"/>
      <c r="P47" s="81"/>
      <c r="Q47" s="81"/>
      <c r="R47" s="75"/>
      <c r="S47" s="80"/>
      <c r="T47" s="67"/>
      <c r="U47" s="67"/>
      <c r="V47" s="75"/>
      <c r="W47" s="60"/>
      <c r="X47" s="52">
        <v>7.0000000000000007E-2</v>
      </c>
      <c r="Y47" s="48" t="s">
        <v>96</v>
      </c>
      <c r="Z47" s="49" t="s">
        <v>58</v>
      </c>
      <c r="AA47" s="49"/>
      <c r="AB47" s="53"/>
    </row>
    <row r="48" spans="1:28" s="54" customFormat="1" ht="15.75" x14ac:dyDescent="0.3">
      <c r="A48" s="48" t="s">
        <v>38</v>
      </c>
      <c r="B48" s="48">
        <v>75</v>
      </c>
      <c r="C48" s="56" t="s">
        <v>106</v>
      </c>
      <c r="D48" s="48"/>
      <c r="E48" s="48"/>
      <c r="F48" s="56"/>
      <c r="G48" s="48" t="s">
        <v>140</v>
      </c>
      <c r="H48" s="3">
        <f>L48*K48</f>
        <v>0.1145230153846154</v>
      </c>
      <c r="I48" s="50"/>
      <c r="J48" s="50"/>
      <c r="K48" s="186">
        <v>0.92</v>
      </c>
      <c r="L48" s="20">
        <f>(O48+T48)*X48</f>
        <v>0.12448153846153848</v>
      </c>
      <c r="M48" s="133"/>
      <c r="N48" s="51"/>
      <c r="O48" s="67">
        <v>1.5860000000000001</v>
      </c>
      <c r="P48" s="81">
        <v>26000</v>
      </c>
      <c r="Q48" s="81"/>
      <c r="R48" s="75"/>
      <c r="S48" s="80">
        <v>5000</v>
      </c>
      <c r="T48" s="67">
        <f>S48/P48</f>
        <v>0.19230769230769232</v>
      </c>
      <c r="U48" s="67"/>
      <c r="V48" s="75"/>
      <c r="W48" s="60">
        <v>1</v>
      </c>
      <c r="X48" s="52">
        <v>7.0000000000000007E-2</v>
      </c>
      <c r="Y48" s="48" t="s">
        <v>96</v>
      </c>
      <c r="Z48" s="49" t="s">
        <v>58</v>
      </c>
      <c r="AA48" s="49"/>
      <c r="AB48" s="53"/>
    </row>
    <row r="49" spans="1:28" s="54" customFormat="1" ht="15.75" x14ac:dyDescent="0.3">
      <c r="A49" s="48"/>
      <c r="B49" s="48"/>
      <c r="C49" s="56"/>
      <c r="D49" s="48"/>
      <c r="E49" s="48"/>
      <c r="F49" s="56"/>
      <c r="G49" s="48"/>
      <c r="H49" s="3"/>
      <c r="I49" s="50"/>
      <c r="J49" s="50"/>
      <c r="K49" s="186"/>
      <c r="L49" s="20"/>
      <c r="M49" s="133"/>
      <c r="N49" s="51"/>
      <c r="O49" s="67"/>
      <c r="P49" s="81"/>
      <c r="Q49" s="81"/>
      <c r="R49" s="75"/>
      <c r="S49" s="80"/>
      <c r="T49" s="67"/>
      <c r="U49" s="67"/>
      <c r="V49" s="75"/>
      <c r="W49" s="60"/>
      <c r="X49" s="52"/>
      <c r="Y49" s="48"/>
      <c r="Z49" s="49"/>
      <c r="AA49" s="49"/>
      <c r="AB49" s="53"/>
    </row>
    <row r="50" spans="1:28" s="54" customFormat="1" ht="15.75" x14ac:dyDescent="0.3">
      <c r="A50" s="48" t="s">
        <v>38</v>
      </c>
      <c r="B50" s="48">
        <v>75</v>
      </c>
      <c r="C50" s="56" t="s">
        <v>162</v>
      </c>
      <c r="D50" s="48"/>
      <c r="E50" s="48"/>
      <c r="F50" s="56"/>
      <c r="G50" s="48" t="s">
        <v>140</v>
      </c>
      <c r="H50" s="3">
        <f>L50*K50</f>
        <v>0.14859061538461543</v>
      </c>
      <c r="I50" s="50"/>
      <c r="J50" s="50"/>
      <c r="K50" s="186">
        <v>0.92</v>
      </c>
      <c r="L50" s="20">
        <f>(O50+T50)*X50</f>
        <v>0.16151153846153851</v>
      </c>
      <c r="M50" s="133"/>
      <c r="N50" s="51"/>
      <c r="O50" s="67">
        <v>2.1150000000000002</v>
      </c>
      <c r="P50" s="81">
        <v>26000</v>
      </c>
      <c r="Q50" s="81"/>
      <c r="R50" s="75"/>
      <c r="S50" s="80">
        <v>5000</v>
      </c>
      <c r="T50" s="67">
        <f>S50/P50</f>
        <v>0.19230769230769232</v>
      </c>
      <c r="U50" s="67"/>
      <c r="V50" s="75"/>
      <c r="W50" s="60">
        <v>1</v>
      </c>
      <c r="X50" s="52">
        <v>7.0000000000000007E-2</v>
      </c>
      <c r="Y50" s="48" t="s">
        <v>96</v>
      </c>
      <c r="Z50" s="49" t="s">
        <v>58</v>
      </c>
      <c r="AA50" s="49"/>
      <c r="AB50" s="53"/>
    </row>
    <row r="51" spans="1:28" s="54" customFormat="1" ht="15.75" x14ac:dyDescent="0.3">
      <c r="A51" s="48"/>
      <c r="B51" s="48"/>
      <c r="C51" s="56"/>
      <c r="D51" s="48"/>
      <c r="E51" s="48"/>
      <c r="F51" s="56"/>
      <c r="G51" s="48"/>
      <c r="H51" s="20"/>
      <c r="I51" s="50"/>
      <c r="J51" s="50"/>
      <c r="K51" s="50"/>
      <c r="L51" s="120"/>
      <c r="M51" s="133"/>
      <c r="N51" s="51"/>
      <c r="O51" s="67"/>
      <c r="P51" s="81"/>
      <c r="Q51" s="81"/>
      <c r="R51" s="75"/>
      <c r="S51" s="80"/>
      <c r="T51" s="67"/>
      <c r="U51" s="67"/>
      <c r="V51" s="75"/>
      <c r="W51" s="60"/>
      <c r="X51" s="52"/>
      <c r="Y51" s="48"/>
      <c r="Z51" s="49"/>
      <c r="AA51" s="49"/>
      <c r="AB51" s="53"/>
    </row>
    <row r="52" spans="1:28" s="5" customFormat="1" ht="15.75" x14ac:dyDescent="0.3">
      <c r="A52" s="16"/>
      <c r="B52" s="16"/>
      <c r="C52" s="14" t="s">
        <v>163</v>
      </c>
      <c r="D52" s="16"/>
      <c r="E52" s="201"/>
      <c r="F52" s="19"/>
      <c r="G52" s="16"/>
      <c r="H52" s="20"/>
      <c r="I52" s="20"/>
      <c r="J52" s="20"/>
      <c r="K52" s="20"/>
      <c r="L52" s="116"/>
      <c r="M52" s="130"/>
      <c r="N52" s="18"/>
      <c r="O52" s="66"/>
      <c r="P52" s="66"/>
      <c r="Q52" s="66"/>
      <c r="R52" s="74"/>
      <c r="S52" s="64"/>
      <c r="T52" s="67"/>
      <c r="U52" s="67"/>
      <c r="V52" s="74"/>
      <c r="W52" s="58"/>
      <c r="X52" s="40"/>
      <c r="Y52" s="16"/>
      <c r="Z52" s="21"/>
      <c r="AA52" s="21"/>
      <c r="AB52" s="28"/>
    </row>
    <row r="53" spans="1:28" s="54" customFormat="1" ht="15.75" x14ac:dyDescent="0.3">
      <c r="A53" s="48" t="s">
        <v>38</v>
      </c>
      <c r="B53" s="48">
        <v>70</v>
      </c>
      <c r="C53" s="56" t="s">
        <v>109</v>
      </c>
      <c r="D53" s="48"/>
      <c r="E53" s="48"/>
      <c r="F53" s="56"/>
      <c r="G53" s="48"/>
      <c r="H53" s="20">
        <f t="shared" ref="H53:H58" si="0">L53*K53</f>
        <v>0.13100941538461541</v>
      </c>
      <c r="I53" s="50"/>
      <c r="J53" s="50"/>
      <c r="K53" s="186">
        <v>0.92</v>
      </c>
      <c r="L53" s="20">
        <f>(O53+T53)*X53</f>
        <v>0.1424015384615385</v>
      </c>
      <c r="M53" s="132"/>
      <c r="N53" s="51"/>
      <c r="O53" s="67">
        <v>1.8420000000000001</v>
      </c>
      <c r="P53" s="81">
        <v>26000</v>
      </c>
      <c r="Q53" s="81"/>
      <c r="R53" s="138"/>
      <c r="S53" s="80">
        <v>5000</v>
      </c>
      <c r="T53" s="67">
        <f>S53/P53</f>
        <v>0.19230769230769232</v>
      </c>
      <c r="U53" s="67"/>
      <c r="V53" s="138"/>
      <c r="W53" s="60">
        <v>1</v>
      </c>
      <c r="X53" s="52">
        <v>7.0000000000000007E-2</v>
      </c>
      <c r="Y53" s="48" t="s">
        <v>96</v>
      </c>
      <c r="Z53" s="49" t="s">
        <v>58</v>
      </c>
      <c r="AA53" s="49"/>
      <c r="AB53" s="53"/>
    </row>
    <row r="54" spans="1:28" s="54" customFormat="1" ht="15.75" x14ac:dyDescent="0.3">
      <c r="A54" s="48" t="s">
        <v>38</v>
      </c>
      <c r="B54" s="48">
        <v>70</v>
      </c>
      <c r="C54" s="56" t="s">
        <v>110</v>
      </c>
      <c r="D54" s="48"/>
      <c r="E54" s="48"/>
      <c r="F54" s="56" t="s">
        <v>126</v>
      </c>
      <c r="G54" s="48"/>
      <c r="H54" s="20">
        <f t="shared" si="0"/>
        <v>0.1308806153846154</v>
      </c>
      <c r="I54" s="50"/>
      <c r="J54" s="50"/>
      <c r="K54" s="186">
        <v>0.92</v>
      </c>
      <c r="L54" s="20">
        <f>(O54+T54)*X54</f>
        <v>0.14226153846153847</v>
      </c>
      <c r="M54" s="133"/>
      <c r="N54" s="51"/>
      <c r="O54" s="67">
        <v>1.84</v>
      </c>
      <c r="P54" s="81">
        <v>26000</v>
      </c>
      <c r="Q54" s="81"/>
      <c r="R54" s="138"/>
      <c r="S54" s="80">
        <v>5000</v>
      </c>
      <c r="T54" s="67">
        <f>S54/P54</f>
        <v>0.19230769230769232</v>
      </c>
      <c r="U54" s="67"/>
      <c r="V54" s="138"/>
      <c r="W54" s="60">
        <v>1</v>
      </c>
      <c r="X54" s="52">
        <v>7.0000000000000007E-2</v>
      </c>
      <c r="Y54" s="48" t="s">
        <v>96</v>
      </c>
      <c r="Z54" s="49" t="s">
        <v>58</v>
      </c>
      <c r="AA54" s="49"/>
      <c r="AB54" s="53"/>
    </row>
    <row r="55" spans="1:28" s="54" customFormat="1" ht="15.75" x14ac:dyDescent="0.3">
      <c r="A55" s="48"/>
      <c r="B55" s="48"/>
      <c r="C55" s="56"/>
      <c r="D55" s="48"/>
      <c r="E55" s="48"/>
      <c r="F55" s="56"/>
      <c r="G55" s="48"/>
      <c r="H55" s="20"/>
      <c r="I55" s="50"/>
      <c r="J55" s="50"/>
      <c r="K55" s="186"/>
      <c r="L55" s="20"/>
      <c r="M55" s="133"/>
      <c r="N55" s="51"/>
      <c r="O55" s="67"/>
      <c r="P55" s="81"/>
      <c r="Q55" s="81"/>
      <c r="R55" s="138"/>
      <c r="S55" s="80"/>
      <c r="T55" s="67"/>
      <c r="U55" s="67"/>
      <c r="V55" s="138"/>
      <c r="W55" s="60"/>
      <c r="X55" s="52"/>
      <c r="Y55" s="48"/>
      <c r="Z55" s="49"/>
      <c r="AA55" s="49"/>
      <c r="AB55" s="53"/>
    </row>
    <row r="56" spans="1:28" s="54" customFormat="1" ht="15.75" x14ac:dyDescent="0.3">
      <c r="A56" s="48" t="s">
        <v>38</v>
      </c>
      <c r="B56" s="48">
        <v>75</v>
      </c>
      <c r="C56" s="56" t="s">
        <v>141</v>
      </c>
      <c r="D56" s="48"/>
      <c r="E56" s="48"/>
      <c r="F56" s="56"/>
      <c r="G56" s="48"/>
      <c r="H56" s="20">
        <f t="shared" si="0"/>
        <v>0.16179261538461542</v>
      </c>
      <c r="I56" s="50"/>
      <c r="J56" s="50"/>
      <c r="K56" s="186">
        <v>0.92</v>
      </c>
      <c r="L56" s="20">
        <f>(O56+T56)*X56</f>
        <v>0.17586153846153849</v>
      </c>
      <c r="M56" s="133"/>
      <c r="N56" s="51"/>
      <c r="O56" s="67">
        <v>2.3199999999999998</v>
      </c>
      <c r="P56" s="81">
        <v>26000</v>
      </c>
      <c r="Q56" s="81"/>
      <c r="R56" s="138"/>
      <c r="S56" s="80">
        <v>5000</v>
      </c>
      <c r="T56" s="67">
        <f>S56/P56</f>
        <v>0.19230769230769232</v>
      </c>
      <c r="U56" s="67"/>
      <c r="V56" s="138"/>
      <c r="W56" s="60">
        <v>0.95</v>
      </c>
      <c r="X56" s="52">
        <v>7.0000000000000007E-2</v>
      </c>
      <c r="Y56" s="48"/>
      <c r="Z56" s="49"/>
      <c r="AA56" s="49"/>
      <c r="AB56" s="53"/>
    </row>
    <row r="57" spans="1:28" s="54" customFormat="1" ht="15.75" x14ac:dyDescent="0.3">
      <c r="A57" s="48"/>
      <c r="B57" s="48"/>
      <c r="C57" s="56"/>
      <c r="D57" s="48"/>
      <c r="E57" s="48"/>
      <c r="F57" s="56"/>
      <c r="G57" s="48"/>
      <c r="H57" s="20"/>
      <c r="I57" s="50"/>
      <c r="J57" s="50"/>
      <c r="K57" s="186"/>
      <c r="L57" s="20"/>
      <c r="M57" s="133"/>
      <c r="N57" s="51"/>
      <c r="O57" s="67"/>
      <c r="P57" s="81"/>
      <c r="Q57" s="81"/>
      <c r="R57" s="138"/>
      <c r="S57" s="80"/>
      <c r="T57" s="67"/>
      <c r="U57" s="67"/>
      <c r="V57" s="138"/>
      <c r="W57" s="60"/>
      <c r="X57" s="52"/>
      <c r="Y57" s="48"/>
      <c r="Z57" s="49"/>
      <c r="AA57" s="49"/>
      <c r="AB57" s="53"/>
    </row>
    <row r="58" spans="1:28" s="54" customFormat="1" ht="15.75" x14ac:dyDescent="0.3">
      <c r="A58" s="48" t="s">
        <v>38</v>
      </c>
      <c r="B58" s="48">
        <v>95</v>
      </c>
      <c r="C58" s="56" t="s">
        <v>150</v>
      </c>
      <c r="D58" s="48"/>
      <c r="E58" s="48"/>
      <c r="F58" s="56" t="s">
        <v>128</v>
      </c>
      <c r="G58" s="48"/>
      <c r="H58" s="20">
        <f t="shared" si="0"/>
        <v>0.23598141538461542</v>
      </c>
      <c r="I58" s="50"/>
      <c r="J58" s="50"/>
      <c r="K58" s="186">
        <v>0.92</v>
      </c>
      <c r="L58" s="20">
        <f>(O58+T58)*X58</f>
        <v>0.2565015384615385</v>
      </c>
      <c r="M58" s="133"/>
      <c r="N58" s="51"/>
      <c r="O58" s="67">
        <v>3.472</v>
      </c>
      <c r="P58" s="81">
        <v>26000</v>
      </c>
      <c r="Q58" s="81"/>
      <c r="R58" s="138"/>
      <c r="S58" s="80">
        <v>5000</v>
      </c>
      <c r="T58" s="67">
        <f>S58/P58</f>
        <v>0.19230769230769232</v>
      </c>
      <c r="U58" s="67"/>
      <c r="V58" s="138"/>
      <c r="W58" s="60">
        <v>1</v>
      </c>
      <c r="X58" s="52">
        <v>7.0000000000000007E-2</v>
      </c>
      <c r="Y58" s="48" t="s">
        <v>96</v>
      </c>
      <c r="Z58" s="49" t="s">
        <v>58</v>
      </c>
      <c r="AA58" s="49"/>
      <c r="AB58" s="53"/>
    </row>
    <row r="59" spans="1:28" ht="15.75" x14ac:dyDescent="0.3">
      <c r="A59" s="16"/>
      <c r="B59" s="16"/>
      <c r="C59" s="21"/>
      <c r="D59" s="16"/>
      <c r="E59" s="201"/>
      <c r="F59" s="21"/>
      <c r="G59" s="16"/>
      <c r="H59" s="20"/>
      <c r="I59" s="20"/>
      <c r="J59" s="20"/>
      <c r="K59" s="20"/>
      <c r="L59" s="116"/>
      <c r="M59" s="130"/>
      <c r="N59" s="18"/>
      <c r="O59" s="66"/>
      <c r="P59" s="66"/>
      <c r="Q59" s="66"/>
      <c r="R59" s="139"/>
      <c r="S59" s="64"/>
      <c r="T59" s="67"/>
      <c r="U59" s="67"/>
      <c r="V59" s="139"/>
      <c r="W59" s="58"/>
      <c r="X59" s="40"/>
      <c r="Y59" s="16"/>
      <c r="Z59" s="21"/>
      <c r="AA59" s="21"/>
      <c r="AB59" s="8"/>
    </row>
    <row r="60" spans="1:28" ht="15.75" x14ac:dyDescent="0.3">
      <c r="A60" s="16"/>
      <c r="B60" s="16"/>
      <c r="C60" s="21"/>
      <c r="D60" s="16"/>
      <c r="E60" s="201"/>
      <c r="F60" s="21"/>
      <c r="G60" s="16"/>
      <c r="H60" s="20"/>
      <c r="I60" s="20"/>
      <c r="J60" s="20"/>
      <c r="K60" s="20"/>
      <c r="L60" s="116"/>
      <c r="M60" s="130"/>
      <c r="N60" s="18"/>
      <c r="O60" s="66"/>
      <c r="P60" s="66"/>
      <c r="Q60" s="66"/>
      <c r="R60" s="139"/>
      <c r="S60" s="64"/>
      <c r="T60" s="67"/>
      <c r="U60" s="67"/>
      <c r="V60" s="139"/>
      <c r="W60" s="58"/>
      <c r="X60" s="40"/>
      <c r="Y60" s="16"/>
      <c r="Z60" s="21"/>
      <c r="AA60" s="21"/>
      <c r="AB60" s="8"/>
    </row>
    <row r="61" spans="1:28" s="5" customFormat="1" ht="15.75" x14ac:dyDescent="0.3">
      <c r="A61" s="16" t="s">
        <v>41</v>
      </c>
      <c r="B61" s="16">
        <v>105</v>
      </c>
      <c r="C61" s="19" t="s">
        <v>123</v>
      </c>
      <c r="D61" s="16"/>
      <c r="E61" s="201"/>
      <c r="F61" s="19"/>
      <c r="G61" s="16" t="s">
        <v>124</v>
      </c>
      <c r="H61" s="20">
        <v>0.27929999999999999</v>
      </c>
      <c r="I61" s="20"/>
      <c r="J61" s="20"/>
      <c r="K61" s="20"/>
      <c r="L61" s="116"/>
      <c r="M61" s="130"/>
      <c r="N61" s="18"/>
      <c r="O61" s="66"/>
      <c r="P61" s="66"/>
      <c r="Q61" s="66"/>
      <c r="R61" s="74"/>
      <c r="S61" s="64"/>
      <c r="T61" s="67"/>
      <c r="U61" s="67"/>
      <c r="V61" s="74"/>
      <c r="W61" s="58"/>
      <c r="X61" s="40"/>
      <c r="Y61" s="16"/>
      <c r="Z61" s="21"/>
      <c r="AA61" s="21"/>
      <c r="AB61" s="28"/>
    </row>
    <row r="62" spans="1:28" ht="12.75" customHeight="1" x14ac:dyDescent="0.3">
      <c r="A62" s="16"/>
      <c r="B62" s="16"/>
      <c r="C62" s="21"/>
      <c r="D62" s="16"/>
      <c r="E62" s="201"/>
      <c r="F62" s="21"/>
      <c r="G62" s="16"/>
      <c r="H62" s="20"/>
      <c r="I62" s="20"/>
      <c r="J62" s="20"/>
      <c r="K62" s="20"/>
      <c r="L62" s="116"/>
      <c r="M62" s="130"/>
      <c r="N62" s="18"/>
      <c r="O62" s="66"/>
      <c r="P62" s="66"/>
      <c r="Q62" s="66"/>
      <c r="R62" s="139"/>
      <c r="S62" s="64"/>
      <c r="T62" s="67"/>
      <c r="U62" s="67"/>
      <c r="V62" s="139"/>
      <c r="W62" s="58"/>
      <c r="X62" s="40"/>
      <c r="Y62" s="16"/>
      <c r="Z62" s="21"/>
      <c r="AA62" s="21"/>
      <c r="AB62" s="8"/>
    </row>
    <row r="63" spans="1:28" s="5" customFormat="1" ht="15.75" x14ac:dyDescent="0.3">
      <c r="A63" s="16" t="s">
        <v>38</v>
      </c>
      <c r="B63" s="16">
        <v>82</v>
      </c>
      <c r="C63" s="27" t="s">
        <v>45</v>
      </c>
      <c r="D63" s="204" t="s">
        <v>130</v>
      </c>
      <c r="E63" s="205"/>
      <c r="F63" s="206"/>
      <c r="G63" s="16" t="s">
        <v>24</v>
      </c>
      <c r="H63" s="20" t="s">
        <v>52</v>
      </c>
      <c r="I63" s="20"/>
      <c r="J63" s="20"/>
      <c r="K63" s="20"/>
      <c r="L63" s="116"/>
      <c r="M63" s="130"/>
      <c r="N63" s="18">
        <v>0</v>
      </c>
      <c r="O63" s="66"/>
      <c r="P63" s="66"/>
      <c r="Q63" s="66"/>
      <c r="R63" s="139"/>
      <c r="S63" s="64"/>
      <c r="T63" s="67"/>
      <c r="U63" s="67"/>
      <c r="V63" s="139"/>
      <c r="W63" s="58"/>
      <c r="X63" s="40">
        <v>0.70699999999999996</v>
      </c>
      <c r="Y63" s="16" t="s">
        <v>24</v>
      </c>
      <c r="Z63" s="21" t="s">
        <v>58</v>
      </c>
      <c r="AA63" s="26"/>
      <c r="AB63" s="28"/>
    </row>
    <row r="64" spans="1:28" ht="15.75" x14ac:dyDescent="0.3">
      <c r="A64" s="16"/>
      <c r="B64" s="16"/>
      <c r="C64" s="19"/>
      <c r="D64" s="16"/>
      <c r="E64" s="201"/>
      <c r="F64" s="19"/>
      <c r="G64" s="16"/>
      <c r="H64" s="20"/>
      <c r="I64" s="20"/>
      <c r="J64" s="20"/>
      <c r="K64" s="20"/>
      <c r="L64" s="116"/>
      <c r="M64" s="130"/>
      <c r="N64" s="18"/>
      <c r="O64" s="66"/>
      <c r="P64" s="66"/>
      <c r="Q64" s="66"/>
      <c r="R64" s="139"/>
      <c r="S64" s="64"/>
      <c r="T64" s="67"/>
      <c r="U64" s="67"/>
      <c r="V64" s="139"/>
      <c r="W64" s="58"/>
      <c r="X64" s="40"/>
      <c r="Y64" s="16"/>
      <c r="Z64" s="21"/>
      <c r="AA64" s="19"/>
      <c r="AB64" s="8"/>
    </row>
    <row r="65" spans="1:28" s="151" customFormat="1" ht="15.75" x14ac:dyDescent="0.3">
      <c r="A65" s="152"/>
      <c r="B65" s="152">
        <v>70</v>
      </c>
      <c r="C65" s="185" t="s">
        <v>157</v>
      </c>
      <c r="D65" s="152" t="s">
        <v>158</v>
      </c>
      <c r="E65" s="201"/>
      <c r="F65" s="19">
        <v>1.19</v>
      </c>
      <c r="G65" s="152" t="s">
        <v>121</v>
      </c>
      <c r="H65" s="20">
        <v>1.2849999999999999</v>
      </c>
      <c r="I65" s="20"/>
      <c r="J65" s="20"/>
      <c r="K65" s="20"/>
      <c r="L65" s="116"/>
      <c r="M65" s="130"/>
      <c r="N65" s="18"/>
      <c r="O65" s="66"/>
      <c r="P65" s="66"/>
      <c r="Q65" s="66"/>
      <c r="R65" s="139"/>
      <c r="S65" s="64"/>
      <c r="T65" s="67"/>
      <c r="U65" s="67"/>
      <c r="V65" s="139"/>
      <c r="W65" s="58"/>
      <c r="X65" s="40"/>
      <c r="Y65" s="152"/>
      <c r="Z65" s="21"/>
      <c r="AA65" s="19"/>
      <c r="AB65" s="8"/>
    </row>
    <row r="66" spans="1:28" ht="15.75" x14ac:dyDescent="0.3">
      <c r="A66" s="16"/>
      <c r="B66" s="16"/>
      <c r="C66" s="19"/>
      <c r="D66" s="16"/>
      <c r="E66" s="201"/>
      <c r="F66" s="19"/>
      <c r="G66" s="16"/>
      <c r="H66" s="20"/>
      <c r="I66" s="20"/>
      <c r="J66" s="20"/>
      <c r="K66" s="20"/>
      <c r="L66" s="116"/>
      <c r="M66" s="130"/>
      <c r="N66" s="18"/>
      <c r="O66" s="66"/>
      <c r="P66" s="66"/>
      <c r="Q66" s="66"/>
      <c r="R66" s="139"/>
      <c r="S66" s="64"/>
      <c r="T66" s="67"/>
      <c r="U66" s="67"/>
      <c r="V66" s="139"/>
      <c r="W66" s="58"/>
      <c r="X66" s="40"/>
      <c r="Y66" s="16"/>
      <c r="Z66" s="21"/>
      <c r="AA66" s="19"/>
      <c r="AB66" s="8"/>
    </row>
    <row r="67" spans="1:28" ht="15.75" x14ac:dyDescent="0.3">
      <c r="A67" s="16" t="s">
        <v>39</v>
      </c>
      <c r="B67" s="16">
        <v>60</v>
      </c>
      <c r="C67" s="21" t="s">
        <v>80</v>
      </c>
      <c r="D67" s="16"/>
      <c r="E67" s="201"/>
      <c r="F67" s="21"/>
      <c r="G67" s="16" t="s">
        <v>30</v>
      </c>
      <c r="H67" s="20">
        <f>N67*X67</f>
        <v>0.27132800000000001</v>
      </c>
      <c r="I67" s="20"/>
      <c r="J67" s="20"/>
      <c r="K67" s="20"/>
      <c r="L67" s="116"/>
      <c r="M67" s="130"/>
      <c r="N67" s="32">
        <v>5.56</v>
      </c>
      <c r="O67" s="66"/>
      <c r="P67" s="66"/>
      <c r="Q67" s="66"/>
      <c r="R67" s="74"/>
      <c r="S67" s="64"/>
      <c r="T67" s="67"/>
      <c r="U67" s="67"/>
      <c r="V67" s="74"/>
      <c r="W67" s="58"/>
      <c r="X67" s="40">
        <v>4.8800000000000003E-2</v>
      </c>
      <c r="Y67" s="16" t="s">
        <v>30</v>
      </c>
      <c r="Z67" s="21" t="s">
        <v>39</v>
      </c>
      <c r="AA67" s="21"/>
      <c r="AB67" s="8"/>
    </row>
    <row r="68" spans="1:28" ht="15.75" x14ac:dyDescent="0.3">
      <c r="A68" s="16" t="s">
        <v>39</v>
      </c>
      <c r="B68" s="16">
        <v>60</v>
      </c>
      <c r="C68" s="21" t="s">
        <v>84</v>
      </c>
      <c r="D68" s="16"/>
      <c r="E68" s="201"/>
      <c r="F68" s="21"/>
      <c r="G68" s="16" t="s">
        <v>30</v>
      </c>
      <c r="H68" s="20">
        <f>N68*X68</f>
        <v>0.27115</v>
      </c>
      <c r="I68" s="20"/>
      <c r="J68" s="20"/>
      <c r="K68" s="20"/>
      <c r="L68" s="116"/>
      <c r="M68" s="130"/>
      <c r="N68" s="32">
        <v>5.5</v>
      </c>
      <c r="O68" s="66"/>
      <c r="P68" s="66"/>
      <c r="Q68" s="66"/>
      <c r="R68" s="74"/>
      <c r="S68" s="64"/>
      <c r="T68" s="67"/>
      <c r="U68" s="67"/>
      <c r="V68" s="74"/>
      <c r="W68" s="58"/>
      <c r="X68" s="40">
        <v>4.9299999999999997E-2</v>
      </c>
      <c r="Y68" s="16" t="s">
        <v>30</v>
      </c>
      <c r="Z68" s="21" t="s">
        <v>39</v>
      </c>
      <c r="AA68" s="21"/>
      <c r="AB68" s="8"/>
    </row>
    <row r="69" spans="1:28" ht="15.75" x14ac:dyDescent="0.3">
      <c r="A69" s="16" t="s">
        <v>14</v>
      </c>
      <c r="B69" s="16">
        <v>60</v>
      </c>
      <c r="C69" s="21" t="s">
        <v>29</v>
      </c>
      <c r="D69" s="16"/>
      <c r="E69" s="201"/>
      <c r="F69" s="21"/>
      <c r="G69" s="16" t="s">
        <v>30</v>
      </c>
      <c r="H69" s="20">
        <f>N69*X69</f>
        <v>0.14169999999999999</v>
      </c>
      <c r="I69" s="20"/>
      <c r="J69" s="20"/>
      <c r="K69" s="20"/>
      <c r="L69" s="116"/>
      <c r="M69" s="130"/>
      <c r="N69" s="32">
        <v>3.25</v>
      </c>
      <c r="O69" s="66"/>
      <c r="P69" s="66"/>
      <c r="Q69" s="66"/>
      <c r="R69" s="74"/>
      <c r="S69" s="64"/>
      <c r="T69" s="67"/>
      <c r="U69" s="67"/>
      <c r="V69" s="74"/>
      <c r="W69" s="58"/>
      <c r="X69" s="40">
        <v>4.36E-2</v>
      </c>
      <c r="Y69" s="16" t="s">
        <v>30</v>
      </c>
      <c r="Z69" s="21" t="s">
        <v>59</v>
      </c>
      <c r="AA69" s="21"/>
      <c r="AB69" s="8"/>
    </row>
    <row r="70" spans="1:28" ht="15.75" x14ac:dyDescent="0.3">
      <c r="A70" s="16"/>
      <c r="B70" s="16"/>
      <c r="C70" s="21"/>
      <c r="D70" s="16"/>
      <c r="E70" s="201"/>
      <c r="F70" s="21"/>
      <c r="G70" s="16"/>
      <c r="H70" s="20"/>
      <c r="I70" s="20"/>
      <c r="J70" s="20"/>
      <c r="K70" s="20"/>
      <c r="L70" s="116"/>
      <c r="M70" s="130"/>
      <c r="N70" s="32"/>
      <c r="O70" s="66"/>
      <c r="P70" s="66"/>
      <c r="Q70" s="66"/>
      <c r="R70" s="74"/>
      <c r="S70" s="64"/>
      <c r="T70" s="67"/>
      <c r="U70" s="67"/>
      <c r="V70" s="74"/>
      <c r="W70" s="58"/>
      <c r="X70" s="40"/>
      <c r="Y70" s="16"/>
      <c r="Z70" s="21"/>
      <c r="AA70" s="21"/>
      <c r="AB70" s="8"/>
    </row>
    <row r="71" spans="1:28" ht="15.75" x14ac:dyDescent="0.3">
      <c r="A71" s="16"/>
      <c r="B71" s="16">
        <v>60</v>
      </c>
      <c r="C71" s="102" t="s">
        <v>149</v>
      </c>
      <c r="D71" s="144">
        <v>46119</v>
      </c>
      <c r="E71" s="144"/>
      <c r="F71" s="21">
        <v>0.23300000000000001</v>
      </c>
      <c r="G71" s="16"/>
      <c r="H71" s="20">
        <v>0.245</v>
      </c>
      <c r="I71" s="20"/>
      <c r="J71" s="20"/>
      <c r="K71" s="20"/>
      <c r="L71" s="116"/>
      <c r="M71" s="130"/>
      <c r="N71" s="18">
        <v>0.245</v>
      </c>
      <c r="O71" s="66"/>
      <c r="P71" s="66"/>
      <c r="Q71" s="66"/>
      <c r="R71" s="74"/>
      <c r="S71" s="58"/>
      <c r="T71" s="67"/>
      <c r="U71" s="67"/>
      <c r="V71" s="74"/>
      <c r="W71" s="58"/>
      <c r="X71" s="40"/>
      <c r="Y71" s="16"/>
      <c r="Z71" s="21"/>
      <c r="AA71" s="21"/>
      <c r="AB71" s="8"/>
    </row>
    <row r="72" spans="1:28" ht="15.75" x14ac:dyDescent="0.3">
      <c r="A72" s="16"/>
      <c r="B72" s="16"/>
      <c r="C72" s="21"/>
      <c r="D72" s="16"/>
      <c r="E72" s="201"/>
      <c r="F72" s="21"/>
      <c r="G72" s="16"/>
      <c r="H72" s="20"/>
      <c r="I72" s="20"/>
      <c r="J72" s="20"/>
      <c r="K72" s="20"/>
      <c r="L72" s="116"/>
      <c r="M72" s="130"/>
      <c r="N72" s="29"/>
      <c r="O72" s="66"/>
      <c r="P72" s="66"/>
      <c r="Q72" s="66"/>
      <c r="R72" s="74"/>
      <c r="S72" s="58"/>
      <c r="T72" s="67"/>
      <c r="U72" s="67"/>
      <c r="V72" s="74"/>
      <c r="W72" s="58"/>
      <c r="X72" s="40"/>
      <c r="Y72" s="16"/>
      <c r="Z72" s="21"/>
      <c r="AA72" s="21"/>
      <c r="AB72" s="8"/>
    </row>
    <row r="73" spans="1:28" ht="15.75" x14ac:dyDescent="0.3">
      <c r="A73" s="16" t="s">
        <v>39</v>
      </c>
      <c r="B73" s="16">
        <v>93</v>
      </c>
      <c r="C73" s="21"/>
      <c r="D73" s="16"/>
      <c r="E73" s="201"/>
      <c r="F73" s="21"/>
      <c r="G73" s="16"/>
      <c r="H73" s="20"/>
      <c r="I73" s="20"/>
      <c r="J73" s="20"/>
      <c r="K73" s="20"/>
      <c r="L73" s="116"/>
      <c r="M73" s="130"/>
      <c r="N73" s="29"/>
      <c r="O73" s="66"/>
      <c r="P73" s="66"/>
      <c r="Q73" s="66"/>
      <c r="R73" s="198"/>
      <c r="S73" s="58"/>
      <c r="T73" s="67"/>
      <c r="U73" s="67"/>
      <c r="V73" s="74"/>
      <c r="W73" s="58"/>
      <c r="X73" s="40"/>
      <c r="Y73" s="16"/>
      <c r="Z73" s="21"/>
      <c r="AA73" s="21"/>
      <c r="AB73" s="8"/>
    </row>
    <row r="74" spans="1:28" ht="15.75" x14ac:dyDescent="0.3">
      <c r="A74" s="56" t="s">
        <v>110</v>
      </c>
      <c r="B74" s="48"/>
      <c r="C74" s="21" t="s">
        <v>191</v>
      </c>
      <c r="D74" s="48"/>
      <c r="E74" s="48"/>
      <c r="F74" s="196">
        <f>J74*I74</f>
        <v>0</v>
      </c>
      <c r="G74" s="197"/>
      <c r="H74" s="50">
        <f t="shared" ref="H74" si="1">L74*K74</f>
        <v>2.76E-2</v>
      </c>
      <c r="I74" s="186">
        <v>0.92</v>
      </c>
      <c r="J74" s="20">
        <f>(M74+R73)*V74</f>
        <v>0</v>
      </c>
      <c r="K74" s="20">
        <v>0.92</v>
      </c>
      <c r="L74" s="20">
        <f>(O74+T74)*X74</f>
        <v>0.03</v>
      </c>
      <c r="M74" s="198"/>
      <c r="N74" s="81"/>
      <c r="O74" s="66"/>
      <c r="P74" s="81">
        <v>10000</v>
      </c>
      <c r="Q74" s="199"/>
      <c r="S74" s="80">
        <v>3000</v>
      </c>
      <c r="T74" s="67">
        <f>S74/P74</f>
        <v>0.3</v>
      </c>
      <c r="U74" s="67"/>
      <c r="V74" s="52"/>
      <c r="W74" s="48"/>
      <c r="X74" s="200">
        <v>0.1</v>
      </c>
      <c r="Y74" s="49"/>
      <c r="Z74" s="6"/>
      <c r="AA74" s="6">
        <v>100</v>
      </c>
      <c r="AB74" s="8"/>
    </row>
    <row r="75" spans="1:28" ht="16.5" customHeight="1" x14ac:dyDescent="0.3">
      <c r="A75"/>
      <c r="B75" s="16"/>
      <c r="C75"/>
      <c r="D75" s="16"/>
      <c r="E75" s="201"/>
      <c r="F75"/>
      <c r="G75" s="16"/>
      <c r="H75" s="20"/>
      <c r="J75" s="20"/>
      <c r="K75" s="20"/>
      <c r="L75" s="116"/>
      <c r="M75" s="130"/>
      <c r="N75" s="29"/>
      <c r="O75" s="66"/>
      <c r="P75" s="66"/>
      <c r="Q75" s="66"/>
      <c r="R75" s="74"/>
      <c r="S75" s="58"/>
      <c r="T75" s="67"/>
      <c r="U75" s="67"/>
      <c r="V75" s="74"/>
      <c r="W75" s="58"/>
      <c r="X75" s="40"/>
      <c r="Y75" s="7"/>
      <c r="Z75" s="21"/>
      <c r="AA75" s="21"/>
      <c r="AB75" s="8"/>
    </row>
    <row r="76" spans="1:28" ht="15.75" x14ac:dyDescent="0.3">
      <c r="A76" t="s">
        <v>90</v>
      </c>
      <c r="B76" s="16">
        <v>120</v>
      </c>
      <c r="C76" t="s">
        <v>91</v>
      </c>
      <c r="D76" s="16"/>
      <c r="E76" s="201"/>
      <c r="F76"/>
      <c r="G76" s="16" t="s">
        <v>87</v>
      </c>
      <c r="H76" s="20">
        <v>0.32</v>
      </c>
      <c r="J76" s="20"/>
      <c r="K76" s="20"/>
      <c r="L76" s="116"/>
      <c r="M76" s="130"/>
      <c r="N76" s="29"/>
      <c r="O76" s="66"/>
      <c r="P76" s="66"/>
      <c r="Q76" s="66"/>
      <c r="R76" s="74"/>
      <c r="S76" s="58"/>
      <c r="T76" s="67"/>
      <c r="U76" s="67"/>
      <c r="V76" s="74"/>
      <c r="W76" s="58"/>
      <c r="X76" s="40"/>
      <c r="Y76" s="16"/>
      <c r="Z76" s="21"/>
      <c r="AA76" s="21"/>
      <c r="AB76" s="8"/>
    </row>
    <row r="77" spans="1:28" ht="15.75" x14ac:dyDescent="0.3">
      <c r="A77" s="16" t="s">
        <v>111</v>
      </c>
      <c r="B77" s="16">
        <v>54</v>
      </c>
      <c r="C77" s="21" t="s">
        <v>111</v>
      </c>
      <c r="D77" s="16"/>
      <c r="E77" s="201"/>
      <c r="F77" s="16"/>
      <c r="G77" s="16"/>
      <c r="H77" s="20">
        <v>0.22500000000000001</v>
      </c>
      <c r="J77" s="20"/>
      <c r="K77" s="20"/>
      <c r="L77" s="116"/>
      <c r="M77" s="130"/>
      <c r="N77" s="29"/>
      <c r="O77" s="66"/>
      <c r="P77" s="66"/>
      <c r="Q77" s="66"/>
      <c r="R77" s="74"/>
      <c r="S77" s="58"/>
      <c r="T77" s="67"/>
      <c r="U77" s="67"/>
      <c r="V77" s="74"/>
      <c r="W77" s="58"/>
      <c r="X77" s="40"/>
      <c r="Y77" s="16"/>
      <c r="Z77" s="21"/>
      <c r="AA77" s="21"/>
      <c r="AB77" s="8"/>
    </row>
    <row r="78" spans="1:28" ht="15.75" x14ac:dyDescent="0.3">
      <c r="A78" s="16" t="s">
        <v>92</v>
      </c>
      <c r="B78" s="16">
        <v>75</v>
      </c>
      <c r="C78" s="21" t="s">
        <v>92</v>
      </c>
      <c r="D78" s="16"/>
      <c r="E78" s="201"/>
      <c r="F78" s="21"/>
      <c r="G78"/>
      <c r="H78" s="20">
        <v>0.25</v>
      </c>
      <c r="J78" s="20"/>
      <c r="K78" s="20"/>
      <c r="L78" s="116"/>
      <c r="M78" s="130"/>
      <c r="N78" s="29"/>
      <c r="O78" s="66"/>
      <c r="P78" s="66"/>
      <c r="Q78" s="66"/>
      <c r="R78" s="74"/>
      <c r="S78" s="58"/>
      <c r="T78" s="67"/>
      <c r="U78" s="67"/>
      <c r="V78" s="74"/>
      <c r="W78" s="58"/>
      <c r="X78" s="40"/>
      <c r="Y78" s="16"/>
      <c r="Z78" s="21"/>
      <c r="AA78" s="21"/>
      <c r="AB78" s="8"/>
    </row>
    <row r="79" spans="1:28" ht="15.75" x14ac:dyDescent="0.3">
      <c r="A79" s="16"/>
      <c r="B79" s="16"/>
      <c r="C79" s="21"/>
      <c r="D79" s="16"/>
      <c r="E79" s="201"/>
      <c r="F79" s="21"/>
      <c r="G79" s="16"/>
      <c r="H79" s="20"/>
      <c r="I79" s="17"/>
      <c r="J79" s="17"/>
      <c r="K79" s="17"/>
      <c r="L79" s="116"/>
      <c r="M79" s="130"/>
      <c r="N79" s="29"/>
      <c r="O79" s="66"/>
      <c r="P79" s="66"/>
      <c r="Q79" s="66"/>
      <c r="R79" s="74"/>
      <c r="S79" s="58"/>
      <c r="T79" s="67"/>
      <c r="U79" s="67"/>
      <c r="V79" s="74"/>
      <c r="W79" s="58"/>
      <c r="X79" s="40"/>
      <c r="Y79" s="16"/>
      <c r="Z79" s="21" t="s">
        <v>60</v>
      </c>
      <c r="AA79" s="21"/>
      <c r="AB79" s="8"/>
    </row>
    <row r="80" spans="1:28" ht="15.75" x14ac:dyDescent="0.3">
      <c r="A80" s="16" t="s">
        <v>39</v>
      </c>
      <c r="B80" s="16">
        <v>120</v>
      </c>
      <c r="C80" s="21" t="s">
        <v>50</v>
      </c>
      <c r="D80" s="16"/>
      <c r="E80" s="201"/>
      <c r="F80" s="21"/>
      <c r="G80" s="16"/>
      <c r="H80" s="20">
        <v>0.59199999999999997</v>
      </c>
      <c r="I80" s="20"/>
      <c r="J80" s="20"/>
      <c r="K80" s="20"/>
      <c r="L80" s="116"/>
      <c r="M80" s="130"/>
      <c r="N80" s="29"/>
      <c r="O80" s="66"/>
      <c r="P80" s="66"/>
      <c r="Q80" s="66"/>
      <c r="R80" s="74"/>
      <c r="S80" s="58"/>
      <c r="T80" s="67"/>
      <c r="U80" s="67"/>
      <c r="V80" s="74"/>
      <c r="W80" s="58"/>
      <c r="X80" s="40"/>
      <c r="Y80" s="16"/>
      <c r="Z80" s="21"/>
      <c r="AA80" s="21"/>
      <c r="AB80" s="8"/>
    </row>
    <row r="81" spans="1:28" ht="15.75" x14ac:dyDescent="0.3">
      <c r="A81" s="16" t="s">
        <v>39</v>
      </c>
      <c r="B81" s="16">
        <v>120</v>
      </c>
      <c r="C81" s="21" t="s">
        <v>88</v>
      </c>
      <c r="D81" s="16"/>
      <c r="E81" s="201"/>
      <c r="F81" s="21"/>
      <c r="G81" s="16"/>
      <c r="H81" s="20">
        <v>0.3</v>
      </c>
      <c r="I81" s="20"/>
      <c r="J81" s="20"/>
      <c r="K81" s="20"/>
      <c r="L81" s="116"/>
      <c r="M81" s="130"/>
      <c r="N81" s="32">
        <v>4.3499999999999996</v>
      </c>
      <c r="O81" s="66"/>
      <c r="P81" s="66"/>
      <c r="Q81" s="66"/>
      <c r="R81" s="74"/>
      <c r="S81" s="58"/>
      <c r="T81" s="67"/>
      <c r="U81" s="67"/>
      <c r="V81" s="74"/>
      <c r="W81" s="58"/>
      <c r="X81" s="40">
        <v>7.5200000000000003E-2</v>
      </c>
      <c r="Y81" s="16"/>
      <c r="Z81" s="21"/>
      <c r="AA81" s="21"/>
      <c r="AB81" s="8"/>
    </row>
    <row r="82" spans="1:28" ht="15.75" x14ac:dyDescent="0.3">
      <c r="A82" s="16"/>
      <c r="B82" s="16"/>
      <c r="C82" s="33"/>
      <c r="D82" s="16"/>
      <c r="E82" s="201"/>
      <c r="F82" s="33"/>
      <c r="G82" s="16"/>
      <c r="H82" s="20"/>
      <c r="I82" s="20"/>
      <c r="J82" s="20"/>
      <c r="K82" s="20"/>
      <c r="L82" s="116"/>
      <c r="M82" s="130"/>
      <c r="N82" s="32"/>
      <c r="O82" s="66"/>
      <c r="P82" s="66"/>
      <c r="Q82" s="66"/>
      <c r="R82" s="74"/>
      <c r="S82" s="58"/>
      <c r="T82" s="67"/>
      <c r="U82" s="67"/>
      <c r="V82" s="74"/>
      <c r="W82" s="58"/>
      <c r="X82" s="40"/>
      <c r="Y82" s="16"/>
      <c r="Z82" s="21"/>
      <c r="AA82" s="21"/>
      <c r="AB82" s="8"/>
    </row>
    <row r="83" spans="1:28" ht="15.75" x14ac:dyDescent="0.3">
      <c r="A83" s="16"/>
      <c r="B83" s="16"/>
      <c r="C83" s="21" t="s">
        <v>153</v>
      </c>
      <c r="D83" s="16"/>
      <c r="E83" s="201"/>
      <c r="F83" s="21"/>
      <c r="G83" s="16"/>
      <c r="H83" s="20">
        <v>0.309</v>
      </c>
      <c r="I83" s="20"/>
      <c r="J83" s="20"/>
      <c r="K83" s="20"/>
      <c r="L83" s="116"/>
      <c r="M83" s="130"/>
      <c r="N83" s="29"/>
      <c r="O83" s="66"/>
      <c r="P83" s="66"/>
      <c r="Q83" s="66"/>
      <c r="R83" s="74"/>
      <c r="S83" s="58"/>
      <c r="T83" s="67"/>
      <c r="U83" s="67"/>
      <c r="V83" s="74"/>
      <c r="W83" s="58"/>
      <c r="X83" s="40"/>
      <c r="Y83" s="16"/>
      <c r="Z83" s="21"/>
      <c r="AA83" s="21"/>
      <c r="AB83" s="8"/>
    </row>
    <row r="84" spans="1:28" ht="15.75" x14ac:dyDescent="0.3">
      <c r="A84" s="16"/>
      <c r="B84" s="16"/>
      <c r="C84" s="21" t="s">
        <v>151</v>
      </c>
      <c r="D84" s="16"/>
      <c r="E84" s="201"/>
      <c r="F84" s="21"/>
      <c r="G84" s="16"/>
      <c r="H84" s="20">
        <v>0.30199999999999999</v>
      </c>
      <c r="I84" s="20"/>
      <c r="J84" s="20"/>
      <c r="K84" s="20"/>
      <c r="L84" s="116"/>
      <c r="M84" s="130"/>
      <c r="N84" s="29"/>
      <c r="O84" s="66"/>
      <c r="P84" s="66"/>
      <c r="Q84" s="66"/>
      <c r="R84" s="74"/>
      <c r="S84" s="58"/>
      <c r="T84" s="67"/>
      <c r="U84" s="67"/>
      <c r="V84" s="74"/>
      <c r="W84" s="58"/>
      <c r="X84" s="40"/>
      <c r="Y84" s="16"/>
      <c r="Z84" s="21"/>
      <c r="AA84" s="21"/>
      <c r="AB84" s="8"/>
    </row>
    <row r="85" spans="1:28" ht="15.75" x14ac:dyDescent="0.3">
      <c r="A85" s="16"/>
      <c r="B85" s="34"/>
      <c r="C85" s="21" t="s">
        <v>152</v>
      </c>
      <c r="D85" s="34"/>
      <c r="E85" s="34"/>
      <c r="F85" s="21"/>
      <c r="G85" s="16"/>
      <c r="H85" s="20">
        <v>0.33100000000000002</v>
      </c>
      <c r="I85" s="20"/>
      <c r="J85" s="20"/>
      <c r="K85" s="20"/>
      <c r="L85" s="116"/>
      <c r="M85" s="130"/>
      <c r="N85" s="29"/>
      <c r="O85" s="66"/>
      <c r="P85" s="66"/>
      <c r="Q85" s="66"/>
      <c r="R85" s="74"/>
      <c r="S85" s="58"/>
      <c r="T85" s="67"/>
      <c r="U85" s="67"/>
      <c r="V85" s="74"/>
      <c r="W85" s="58"/>
      <c r="X85" s="40"/>
      <c r="Y85" s="16"/>
      <c r="Z85" s="21"/>
      <c r="AA85" s="21"/>
      <c r="AB85" s="8"/>
    </row>
    <row r="86" spans="1:28" ht="15.75" x14ac:dyDescent="0.3">
      <c r="A86" s="16"/>
      <c r="B86" s="16"/>
      <c r="C86" s="21"/>
      <c r="D86" s="16"/>
      <c r="E86" s="201"/>
      <c r="F86" s="21"/>
      <c r="G86" s="16"/>
      <c r="H86" s="20"/>
      <c r="I86" s="20"/>
      <c r="J86" s="20"/>
      <c r="K86" s="20"/>
      <c r="L86" s="116"/>
      <c r="M86" s="130"/>
      <c r="N86" s="29"/>
      <c r="O86" s="66"/>
      <c r="P86" s="66"/>
      <c r="Q86" s="66"/>
      <c r="R86" s="74"/>
      <c r="S86" s="58"/>
      <c r="T86" s="67"/>
      <c r="U86" s="67"/>
      <c r="V86" s="74"/>
      <c r="W86" s="58"/>
      <c r="X86" s="40"/>
      <c r="Y86" s="16"/>
      <c r="Z86" s="21"/>
      <c r="AA86" s="21"/>
      <c r="AB86" s="8"/>
    </row>
    <row r="87" spans="1:28" ht="15.75" x14ac:dyDescent="0.3">
      <c r="A87" s="203" t="s">
        <v>164</v>
      </c>
      <c r="B87" s="188" t="s">
        <v>165</v>
      </c>
      <c r="C87" s="137" t="s">
        <v>166</v>
      </c>
      <c r="D87" s="189">
        <v>0.41599999999999998</v>
      </c>
      <c r="E87" s="202">
        <v>145</v>
      </c>
      <c r="F87" s="21"/>
      <c r="G87" s="16"/>
      <c r="H87" s="193">
        <f t="shared" ref="H87:H94" si="2">L87*K87</f>
        <v>0.42169038461538461</v>
      </c>
      <c r="I87" s="20"/>
      <c r="J87" s="20"/>
      <c r="K87" s="192">
        <v>0.95</v>
      </c>
      <c r="L87" s="189">
        <f>D87+U87</f>
        <v>0.44388461538461538</v>
      </c>
      <c r="M87" s="130"/>
      <c r="N87" s="29"/>
      <c r="O87" s="66"/>
      <c r="P87" s="81">
        <v>26000</v>
      </c>
      <c r="Q87" s="81"/>
      <c r="R87" s="75"/>
      <c r="S87" s="80">
        <v>5000</v>
      </c>
      <c r="T87" s="67">
        <f>S87/P87</f>
        <v>0.19230769230769232</v>
      </c>
      <c r="U87" s="67">
        <f>T87*E87/1000</f>
        <v>2.7884615384615386E-2</v>
      </c>
      <c r="V87" s="74"/>
      <c r="W87" s="58"/>
      <c r="X87" s="40"/>
      <c r="Y87" s="16"/>
      <c r="Z87" s="21"/>
      <c r="AA87" s="21"/>
      <c r="AB87" s="8"/>
    </row>
    <row r="88" spans="1:28" ht="15.75" x14ac:dyDescent="0.3">
      <c r="A88" s="203"/>
      <c r="B88" s="188" t="s">
        <v>167</v>
      </c>
      <c r="C88" s="137" t="s">
        <v>168</v>
      </c>
      <c r="D88" s="189">
        <v>0.27</v>
      </c>
      <c r="E88" s="202">
        <v>145</v>
      </c>
      <c r="F88" s="21"/>
      <c r="G88" s="16"/>
      <c r="H88" s="193">
        <f t="shared" si="2"/>
        <v>0.28299038461538462</v>
      </c>
      <c r="I88" s="20"/>
      <c r="J88" s="20"/>
      <c r="K88" s="192">
        <v>0.95</v>
      </c>
      <c r="L88" s="189">
        <f t="shared" ref="L88:L94" si="3">D88+U88</f>
        <v>0.29788461538461541</v>
      </c>
      <c r="M88" s="130"/>
      <c r="N88" s="29"/>
      <c r="O88" s="66"/>
      <c r="P88" s="81">
        <v>26000</v>
      </c>
      <c r="Q88" s="81"/>
      <c r="R88" s="75"/>
      <c r="S88" s="80">
        <v>5000</v>
      </c>
      <c r="T88" s="67">
        <f t="shared" ref="T88:T93" si="4">S88/P88</f>
        <v>0.19230769230769232</v>
      </c>
      <c r="U88" s="67">
        <f t="shared" ref="U88:U94" si="5">T88*E88/1000</f>
        <v>2.7884615384615386E-2</v>
      </c>
      <c r="V88" s="74"/>
      <c r="W88" s="58"/>
      <c r="X88" s="40"/>
      <c r="Y88" s="16"/>
      <c r="Z88" s="21"/>
      <c r="AA88" s="21"/>
      <c r="AB88" s="8"/>
    </row>
    <row r="89" spans="1:28" ht="15.75" x14ac:dyDescent="0.3">
      <c r="A89" s="203"/>
      <c r="B89" s="188" t="s">
        <v>169</v>
      </c>
      <c r="C89" s="137" t="s">
        <v>170</v>
      </c>
      <c r="D89" s="189">
        <v>0.29899999999999999</v>
      </c>
      <c r="E89" s="202">
        <v>145</v>
      </c>
      <c r="F89" s="21"/>
      <c r="G89" s="16"/>
      <c r="H89" s="193">
        <f t="shared" si="2"/>
        <v>0.31054038461538458</v>
      </c>
      <c r="I89" s="20"/>
      <c r="J89" s="20"/>
      <c r="K89" s="192">
        <v>0.95</v>
      </c>
      <c r="L89" s="189">
        <f t="shared" si="3"/>
        <v>0.32688461538461538</v>
      </c>
      <c r="M89" s="130"/>
      <c r="N89" s="29"/>
      <c r="O89" s="66"/>
      <c r="P89" s="81">
        <v>26000</v>
      </c>
      <c r="Q89" s="81"/>
      <c r="R89" s="75"/>
      <c r="S89" s="80">
        <v>5000</v>
      </c>
      <c r="T89" s="67">
        <f t="shared" si="4"/>
        <v>0.19230769230769232</v>
      </c>
      <c r="U89" s="67">
        <f t="shared" si="5"/>
        <v>2.7884615384615386E-2</v>
      </c>
      <c r="V89" s="74"/>
      <c r="W89" s="58"/>
      <c r="X89" s="40"/>
      <c r="Y89" s="16"/>
      <c r="Z89" s="21"/>
      <c r="AA89" s="21"/>
      <c r="AB89" s="8"/>
    </row>
    <row r="90" spans="1:28" ht="15.75" x14ac:dyDescent="0.3">
      <c r="A90" s="203"/>
      <c r="B90" s="188" t="s">
        <v>171</v>
      </c>
      <c r="C90" s="137" t="s">
        <v>172</v>
      </c>
      <c r="D90" s="189">
        <v>0.27700000000000002</v>
      </c>
      <c r="E90" s="202">
        <v>145</v>
      </c>
      <c r="F90" s="19"/>
      <c r="G90" s="16"/>
      <c r="H90" s="193">
        <f t="shared" si="2"/>
        <v>0.28964038461538466</v>
      </c>
      <c r="I90" s="20"/>
      <c r="J90" s="20"/>
      <c r="K90" s="192">
        <v>0.95</v>
      </c>
      <c r="L90" s="189">
        <f t="shared" si="3"/>
        <v>0.30488461538461542</v>
      </c>
      <c r="M90" s="130"/>
      <c r="N90" s="29"/>
      <c r="O90" s="66"/>
      <c r="P90" s="81">
        <v>26000</v>
      </c>
      <c r="Q90" s="81"/>
      <c r="R90" s="75"/>
      <c r="S90" s="80">
        <v>5000</v>
      </c>
      <c r="T90" s="67">
        <f t="shared" si="4"/>
        <v>0.19230769230769232</v>
      </c>
      <c r="U90" s="67">
        <f t="shared" si="5"/>
        <v>2.7884615384615386E-2</v>
      </c>
      <c r="V90" s="74"/>
      <c r="W90" s="58"/>
      <c r="X90" s="40"/>
      <c r="Y90" s="16"/>
      <c r="Z90" s="21"/>
      <c r="AA90" s="21"/>
      <c r="AB90" s="8"/>
    </row>
    <row r="91" spans="1:28" ht="45" x14ac:dyDescent="0.3">
      <c r="A91" s="203" t="s">
        <v>173</v>
      </c>
      <c r="B91" s="188" t="s">
        <v>174</v>
      </c>
      <c r="C91" s="190" t="s">
        <v>175</v>
      </c>
      <c r="D91" s="189">
        <v>0.13300000000000001</v>
      </c>
      <c r="E91" s="202">
        <v>38</v>
      </c>
      <c r="F91" s="21"/>
      <c r="G91" s="16"/>
      <c r="H91" s="193">
        <f t="shared" si="2"/>
        <v>0.13329230769230771</v>
      </c>
      <c r="I91" s="20"/>
      <c r="J91" s="20"/>
      <c r="K91" s="192">
        <v>0.95</v>
      </c>
      <c r="L91" s="189">
        <f t="shared" si="3"/>
        <v>0.14030769230769233</v>
      </c>
      <c r="M91" s="130"/>
      <c r="N91" s="29"/>
      <c r="O91" s="66"/>
      <c r="P91" s="81">
        <v>26000</v>
      </c>
      <c r="Q91" s="81"/>
      <c r="R91" s="75"/>
      <c r="S91" s="80">
        <v>5000</v>
      </c>
      <c r="T91" s="67">
        <f t="shared" si="4"/>
        <v>0.19230769230769232</v>
      </c>
      <c r="U91" s="67">
        <f t="shared" si="5"/>
        <v>7.3076923076923084E-3</v>
      </c>
      <c r="V91" s="74"/>
      <c r="W91" s="58"/>
      <c r="X91" s="40"/>
      <c r="Y91" s="16"/>
      <c r="Z91" s="21"/>
      <c r="AA91" s="21"/>
      <c r="AB91" s="8"/>
    </row>
    <row r="92" spans="1:28" ht="45" x14ac:dyDescent="0.3">
      <c r="A92" s="203"/>
      <c r="B92" s="188" t="s">
        <v>176</v>
      </c>
      <c r="C92" s="190" t="s">
        <v>177</v>
      </c>
      <c r="D92" s="191">
        <v>11.28</v>
      </c>
      <c r="E92" s="202">
        <v>4957</v>
      </c>
      <c r="F92" s="21"/>
      <c r="G92" s="16"/>
      <c r="H92" s="193">
        <f t="shared" si="2"/>
        <v>11.621605769230767</v>
      </c>
      <c r="I92" s="20"/>
      <c r="J92" s="20"/>
      <c r="K92" s="192">
        <v>0.95</v>
      </c>
      <c r="L92" s="189">
        <f t="shared" si="3"/>
        <v>12.233269230769229</v>
      </c>
      <c r="M92" s="130"/>
      <c r="N92" s="29"/>
      <c r="O92" s="66"/>
      <c r="P92" s="81">
        <v>26000</v>
      </c>
      <c r="Q92" s="81"/>
      <c r="R92" s="75"/>
      <c r="S92" s="80">
        <v>5000</v>
      </c>
      <c r="T92" s="67">
        <f t="shared" si="4"/>
        <v>0.19230769230769232</v>
      </c>
      <c r="U92" s="67">
        <f t="shared" si="5"/>
        <v>0.95326923076923087</v>
      </c>
      <c r="V92" s="74"/>
      <c r="W92" s="58"/>
      <c r="X92" s="40"/>
      <c r="Y92" s="16"/>
      <c r="Z92" s="21"/>
      <c r="AA92" s="21"/>
      <c r="AB92" s="8"/>
    </row>
    <row r="93" spans="1:28" ht="60" x14ac:dyDescent="0.3">
      <c r="A93" s="203"/>
      <c r="B93" s="188" t="s">
        <v>178</v>
      </c>
      <c r="C93" s="190" t="s">
        <v>179</v>
      </c>
      <c r="D93" s="191">
        <v>3.78</v>
      </c>
      <c r="E93" s="202">
        <v>1239</v>
      </c>
      <c r="F93" s="19"/>
      <c r="G93" s="16"/>
      <c r="H93" s="193">
        <f t="shared" si="2"/>
        <v>3.8173557692307689</v>
      </c>
      <c r="I93" s="20"/>
      <c r="J93" s="20"/>
      <c r="K93" s="192">
        <v>0.95</v>
      </c>
      <c r="L93" s="189">
        <f t="shared" si="3"/>
        <v>4.0182692307692305</v>
      </c>
      <c r="M93" s="130"/>
      <c r="N93" s="29"/>
      <c r="O93" s="66"/>
      <c r="P93" s="81">
        <v>26000</v>
      </c>
      <c r="Q93" s="81"/>
      <c r="R93" s="75"/>
      <c r="S93" s="80">
        <v>5000</v>
      </c>
      <c r="T93" s="67">
        <f t="shared" si="4"/>
        <v>0.19230769230769232</v>
      </c>
      <c r="U93" s="67">
        <f>T93*E93/1000</f>
        <v>0.23826923076923076</v>
      </c>
      <c r="V93" s="74"/>
      <c r="W93" s="58"/>
      <c r="X93" s="40"/>
      <c r="Y93" s="16"/>
      <c r="Z93" s="21"/>
      <c r="AA93" s="21"/>
      <c r="AB93" s="8"/>
    </row>
    <row r="94" spans="1:28" ht="60" x14ac:dyDescent="0.3">
      <c r="A94" s="203"/>
      <c r="B94" s="188" t="s">
        <v>180</v>
      </c>
      <c r="C94" s="190" t="s">
        <v>181</v>
      </c>
      <c r="D94" s="191">
        <v>1.91</v>
      </c>
      <c r="E94" s="202">
        <v>340</v>
      </c>
      <c r="F94" s="21"/>
      <c r="G94" s="16"/>
      <c r="H94" s="193">
        <f t="shared" si="2"/>
        <v>1.8766153846153844</v>
      </c>
      <c r="I94" s="20"/>
      <c r="J94" s="20"/>
      <c r="K94" s="192">
        <v>0.95</v>
      </c>
      <c r="L94" s="189">
        <f t="shared" si="3"/>
        <v>1.9753846153846153</v>
      </c>
      <c r="M94" s="130"/>
      <c r="N94" s="29"/>
      <c r="O94" s="66"/>
      <c r="P94" s="81">
        <v>26000</v>
      </c>
      <c r="Q94" s="81"/>
      <c r="R94" s="75"/>
      <c r="S94" s="80">
        <v>5000</v>
      </c>
      <c r="T94" s="67">
        <f>S94/P94</f>
        <v>0.19230769230769232</v>
      </c>
      <c r="U94" s="67">
        <f t="shared" si="5"/>
        <v>6.5384615384615388E-2</v>
      </c>
      <c r="V94" s="74"/>
      <c r="W94" s="58"/>
      <c r="X94" s="40"/>
      <c r="Y94" s="16"/>
      <c r="Z94" s="21"/>
      <c r="AA94" s="21"/>
      <c r="AB94" s="8"/>
    </row>
    <row r="95" spans="1:28" ht="15.75" x14ac:dyDescent="0.3">
      <c r="A95" s="16"/>
      <c r="B95" s="16"/>
      <c r="C95" s="19"/>
      <c r="D95" s="16"/>
      <c r="E95" s="201"/>
      <c r="F95" s="19"/>
      <c r="G95" s="16"/>
      <c r="H95" s="20"/>
      <c r="I95" s="20"/>
      <c r="J95" s="20"/>
      <c r="K95" s="20"/>
      <c r="L95" s="116"/>
      <c r="M95" s="130"/>
      <c r="N95" s="29"/>
      <c r="O95" s="66"/>
      <c r="P95" s="66"/>
      <c r="Q95" s="66"/>
      <c r="R95" s="74"/>
      <c r="S95" s="58"/>
      <c r="T95" s="67"/>
      <c r="U95" s="67"/>
      <c r="V95" s="74"/>
      <c r="W95" s="58"/>
      <c r="X95" s="40"/>
      <c r="Y95" s="16"/>
      <c r="Z95" s="6"/>
      <c r="AA95" s="6"/>
      <c r="AB95" s="8"/>
    </row>
    <row r="96" spans="1:28" ht="15.75" x14ac:dyDescent="0.3">
      <c r="A96" s="16"/>
      <c r="B96" s="16"/>
      <c r="C96" s="19"/>
      <c r="D96" s="16"/>
      <c r="E96" s="201"/>
      <c r="F96" s="19"/>
      <c r="G96" s="16"/>
      <c r="H96" s="20"/>
      <c r="I96" s="20"/>
      <c r="J96" s="20"/>
      <c r="K96" s="20"/>
      <c r="L96" s="116"/>
      <c r="M96" s="130"/>
      <c r="N96" s="36"/>
      <c r="O96" s="69"/>
      <c r="P96" s="69"/>
      <c r="Q96" s="69"/>
      <c r="R96" s="77"/>
      <c r="S96" s="61"/>
      <c r="T96" s="67"/>
      <c r="U96" s="67"/>
      <c r="V96" s="77"/>
      <c r="W96" s="61"/>
      <c r="X96" s="42"/>
      <c r="Y96" s="7"/>
      <c r="Z96" s="21"/>
      <c r="AA96" s="21"/>
      <c r="AB96" s="8"/>
    </row>
    <row r="97" spans="1:28" ht="15.75" x14ac:dyDescent="0.3">
      <c r="A97" s="16"/>
      <c r="B97" s="16"/>
      <c r="C97" s="19"/>
      <c r="D97" s="16"/>
      <c r="E97" s="201"/>
      <c r="F97" s="19"/>
      <c r="G97" s="16"/>
      <c r="H97" s="20"/>
      <c r="I97" s="20"/>
      <c r="J97" s="20"/>
      <c r="K97" s="20"/>
      <c r="L97" s="116"/>
      <c r="M97" s="130"/>
      <c r="N97" s="29"/>
      <c r="O97" s="66"/>
      <c r="P97" s="66"/>
      <c r="Q97" s="66"/>
      <c r="R97" s="74"/>
      <c r="S97" s="58"/>
      <c r="T97" s="67"/>
      <c r="U97" s="67"/>
      <c r="V97" s="74"/>
      <c r="W97" s="58"/>
      <c r="X97" s="40"/>
      <c r="Y97" s="16"/>
      <c r="Z97" s="21"/>
      <c r="AA97" s="21"/>
      <c r="AB97" s="8"/>
    </row>
    <row r="98" spans="1:28" ht="15.75" x14ac:dyDescent="0.3">
      <c r="A98" s="16"/>
      <c r="B98" s="7"/>
      <c r="C98" s="21"/>
      <c r="D98" s="7"/>
      <c r="E98" s="7"/>
      <c r="F98" s="21"/>
      <c r="G98" s="7"/>
      <c r="H98" s="20"/>
      <c r="I98" s="35"/>
      <c r="J98" s="35"/>
      <c r="K98" s="35"/>
      <c r="L98" s="119"/>
      <c r="M98" s="134"/>
      <c r="N98" s="29"/>
      <c r="O98" s="66"/>
      <c r="P98" s="66"/>
      <c r="Q98" s="66"/>
      <c r="R98" s="74"/>
      <c r="S98" s="58"/>
      <c r="T98" s="67"/>
      <c r="U98" s="67"/>
      <c r="V98" s="74"/>
      <c r="W98" s="58"/>
      <c r="X98" s="40"/>
      <c r="Y98" s="16"/>
      <c r="Z98" s="21"/>
      <c r="AA98" s="21"/>
      <c r="AB98" s="8"/>
    </row>
    <row r="99" spans="1:28" ht="15.75" x14ac:dyDescent="0.3">
      <c r="A99" s="16"/>
      <c r="B99" s="16"/>
      <c r="C99" s="21"/>
      <c r="D99" s="16"/>
      <c r="E99" s="201"/>
      <c r="F99" s="21"/>
      <c r="G99" s="16"/>
      <c r="H99" s="20"/>
      <c r="I99" s="20"/>
      <c r="J99" s="20"/>
      <c r="K99" s="20"/>
      <c r="L99" s="116"/>
      <c r="M99" s="130"/>
      <c r="N99" s="29"/>
      <c r="O99" s="66"/>
      <c r="P99" s="66"/>
      <c r="Q99" s="66"/>
      <c r="R99" s="74"/>
      <c r="S99" s="58"/>
      <c r="T99" s="67"/>
      <c r="U99" s="67"/>
      <c r="V99" s="74"/>
      <c r="W99" s="58"/>
      <c r="X99" s="40"/>
      <c r="Y99" s="16"/>
      <c r="Z99" s="21"/>
      <c r="AA99" s="21"/>
      <c r="AB99" s="8"/>
    </row>
    <row r="100" spans="1:28" ht="15.75" x14ac:dyDescent="0.3">
      <c r="A100" s="16"/>
      <c r="B100" s="16"/>
      <c r="C100" s="21"/>
      <c r="D100" s="16"/>
      <c r="E100" s="201"/>
      <c r="F100" s="21"/>
      <c r="G100" s="16"/>
      <c r="H100" s="20"/>
      <c r="I100" s="20"/>
      <c r="J100" s="20"/>
      <c r="K100" s="20"/>
      <c r="L100" s="116"/>
      <c r="M100" s="130"/>
      <c r="N100" s="29"/>
      <c r="O100" s="66"/>
      <c r="P100" s="66"/>
      <c r="Q100" s="66"/>
      <c r="R100" s="74"/>
      <c r="S100" s="58"/>
      <c r="T100" s="67"/>
      <c r="U100" s="67"/>
      <c r="V100" s="74"/>
      <c r="W100" s="58"/>
      <c r="X100" s="40"/>
      <c r="Y100" s="16"/>
      <c r="Z100" s="21"/>
      <c r="AA100" s="21"/>
      <c r="AB100" s="8"/>
    </row>
    <row r="101" spans="1:28" ht="15.75" x14ac:dyDescent="0.3">
      <c r="A101" s="16"/>
      <c r="B101" s="16"/>
      <c r="C101" s="25"/>
      <c r="D101" s="16"/>
      <c r="E101" s="201"/>
      <c r="F101" s="123"/>
      <c r="G101" s="16"/>
      <c r="H101" s="20"/>
      <c r="I101" s="20"/>
      <c r="J101" s="20"/>
      <c r="K101" s="20"/>
      <c r="L101" s="116"/>
      <c r="M101" s="130"/>
      <c r="N101" s="29"/>
      <c r="O101" s="66"/>
      <c r="P101" s="66"/>
      <c r="Q101" s="66"/>
      <c r="R101" s="74"/>
      <c r="S101" s="58"/>
      <c r="T101" s="67"/>
      <c r="U101" s="67"/>
      <c r="V101" s="74"/>
      <c r="W101" s="58"/>
      <c r="X101" s="40"/>
      <c r="Y101" s="16"/>
      <c r="Z101" s="21"/>
      <c r="AA101" s="21"/>
      <c r="AB101" s="8"/>
    </row>
    <row r="102" spans="1:28" ht="15.75" x14ac:dyDescent="0.3">
      <c r="A102" s="16"/>
      <c r="B102" s="16"/>
      <c r="C102" s="25"/>
      <c r="D102" s="16"/>
      <c r="E102" s="201"/>
      <c r="F102" s="123"/>
      <c r="G102" s="16"/>
      <c r="H102" s="20"/>
      <c r="I102" s="20"/>
      <c r="J102" s="20"/>
      <c r="K102" s="20"/>
      <c r="L102" s="116"/>
      <c r="M102" s="130"/>
      <c r="N102" s="29"/>
      <c r="O102" s="66"/>
      <c r="P102" s="66"/>
      <c r="Q102" s="66"/>
      <c r="R102" s="74"/>
      <c r="S102" s="58"/>
      <c r="T102" s="67"/>
      <c r="U102" s="67"/>
      <c r="V102" s="74"/>
      <c r="W102" s="58"/>
      <c r="X102" s="40"/>
      <c r="Y102" s="16"/>
      <c r="Z102" s="21"/>
      <c r="AA102" s="21"/>
      <c r="AB102" s="8"/>
    </row>
    <row r="103" spans="1:28" ht="15.75" x14ac:dyDescent="0.3">
      <c r="A103" s="16"/>
      <c r="B103" s="16"/>
      <c r="C103" s="21"/>
      <c r="D103" s="16"/>
      <c r="E103" s="201"/>
      <c r="F103" s="21"/>
      <c r="G103" s="16"/>
      <c r="H103" s="20"/>
      <c r="I103" s="20"/>
      <c r="J103" s="20"/>
      <c r="K103" s="20"/>
      <c r="L103" s="116"/>
      <c r="M103" s="130"/>
      <c r="N103" s="29"/>
      <c r="O103" s="66"/>
      <c r="P103" s="66"/>
      <c r="Q103" s="66"/>
      <c r="R103" s="74"/>
      <c r="S103" s="58"/>
      <c r="T103" s="67"/>
      <c r="U103" s="67"/>
      <c r="V103" s="74"/>
      <c r="W103" s="58"/>
      <c r="X103" s="40"/>
      <c r="Y103" s="16"/>
      <c r="Z103" s="6"/>
      <c r="AA103" s="6"/>
      <c r="AB103" s="8"/>
    </row>
    <row r="104" spans="1:28" ht="15.75" x14ac:dyDescent="0.3">
      <c r="A104" s="16"/>
      <c r="B104" s="16"/>
      <c r="C104" s="25"/>
      <c r="D104" s="16"/>
      <c r="E104" s="201"/>
      <c r="F104" s="123"/>
      <c r="G104" s="16"/>
      <c r="H104" s="20"/>
      <c r="I104" s="20"/>
      <c r="J104" s="20"/>
      <c r="K104" s="20"/>
      <c r="L104" s="116"/>
      <c r="M104" s="130"/>
      <c r="N104" s="36"/>
      <c r="O104" s="69"/>
      <c r="P104" s="69"/>
      <c r="Q104" s="69"/>
      <c r="R104" s="77"/>
      <c r="S104" s="61"/>
      <c r="T104" s="67"/>
      <c r="U104" s="67"/>
      <c r="V104" s="77"/>
      <c r="W104" s="61"/>
      <c r="X104" s="42"/>
      <c r="Y104" s="7"/>
      <c r="Z104" s="6"/>
      <c r="AA104" s="6"/>
      <c r="AB104" s="8"/>
    </row>
    <row r="105" spans="1:28" ht="15.75" x14ac:dyDescent="0.3">
      <c r="A105" s="16"/>
      <c r="B105" s="16"/>
      <c r="C105" s="21"/>
      <c r="D105" s="16"/>
      <c r="E105" s="201"/>
      <c r="F105" s="21"/>
      <c r="G105" s="16"/>
      <c r="H105" s="20"/>
      <c r="I105" s="20"/>
      <c r="J105" s="20"/>
      <c r="K105" s="20"/>
      <c r="L105" s="116"/>
      <c r="M105" s="130"/>
      <c r="N105" s="36"/>
      <c r="O105" s="69"/>
      <c r="P105" s="69"/>
      <c r="Q105" s="69"/>
      <c r="R105" s="77"/>
      <c r="S105" s="61"/>
      <c r="T105" s="67"/>
      <c r="U105" s="67"/>
      <c r="V105" s="77"/>
      <c r="W105" s="61"/>
      <c r="X105" s="42"/>
      <c r="Y105" s="7"/>
      <c r="Z105" s="6"/>
      <c r="AA105" s="6"/>
      <c r="AB105" s="8"/>
    </row>
    <row r="106" spans="1:28" ht="15.75" x14ac:dyDescent="0.3">
      <c r="A106" s="7"/>
      <c r="B106" s="7"/>
      <c r="C106" s="6"/>
      <c r="D106" s="7"/>
      <c r="E106" s="7"/>
      <c r="F106" s="6"/>
      <c r="G106" s="7"/>
      <c r="H106" s="20"/>
      <c r="I106" s="35"/>
      <c r="J106" s="35"/>
      <c r="K106" s="35"/>
      <c r="L106" s="119"/>
      <c r="M106" s="134"/>
      <c r="N106" s="36"/>
      <c r="O106" s="69"/>
      <c r="P106" s="69"/>
      <c r="Q106" s="69"/>
      <c r="R106" s="77"/>
      <c r="S106" s="61"/>
      <c r="T106" s="67"/>
      <c r="U106" s="67"/>
      <c r="V106" s="77"/>
      <c r="W106" s="61"/>
      <c r="X106" s="42"/>
      <c r="Y106" s="7"/>
      <c r="Z106" s="6"/>
      <c r="AA106" s="6"/>
      <c r="AB106" s="8"/>
    </row>
    <row r="107" spans="1:28" ht="15.75" x14ac:dyDescent="0.3">
      <c r="A107" s="7"/>
      <c r="B107" s="7"/>
      <c r="C107" s="6" t="s">
        <v>94</v>
      </c>
      <c r="D107" s="7"/>
      <c r="E107" s="7"/>
      <c r="F107" s="6"/>
      <c r="G107" s="7" t="s">
        <v>93</v>
      </c>
      <c r="H107" s="20">
        <v>0.35</v>
      </c>
      <c r="I107" s="35"/>
      <c r="J107" s="35"/>
      <c r="K107" s="35"/>
      <c r="L107" s="119"/>
      <c r="M107" s="134"/>
      <c r="N107" s="36"/>
      <c r="O107" s="69"/>
      <c r="P107" s="69"/>
      <c r="Q107" s="69"/>
      <c r="R107" s="77"/>
      <c r="S107" s="61"/>
      <c r="T107" s="67"/>
      <c r="U107" s="67"/>
      <c r="V107" s="77"/>
      <c r="W107" s="61"/>
      <c r="X107" s="42"/>
      <c r="Y107" s="7"/>
      <c r="Z107" s="6"/>
      <c r="AA107" s="6"/>
      <c r="AB107" s="8"/>
    </row>
    <row r="108" spans="1:28" ht="15.75" x14ac:dyDescent="0.3">
      <c r="A108" s="7"/>
      <c r="B108" s="7"/>
      <c r="C108" s="6" t="s">
        <v>95</v>
      </c>
      <c r="D108" s="7"/>
      <c r="E108" s="7"/>
      <c r="F108" s="6"/>
      <c r="G108" s="7" t="s">
        <v>93</v>
      </c>
      <c r="H108" s="20">
        <v>0.28000000000000003</v>
      </c>
      <c r="I108" s="35"/>
      <c r="J108" s="35"/>
      <c r="K108" s="35"/>
      <c r="L108" s="119"/>
      <c r="M108" s="134"/>
      <c r="N108" s="36"/>
      <c r="O108" s="69"/>
      <c r="P108" s="69"/>
      <c r="Q108" s="69"/>
      <c r="R108" s="77"/>
      <c r="S108" s="61"/>
      <c r="T108" s="67"/>
      <c r="U108" s="67"/>
      <c r="V108" s="77"/>
      <c r="W108" s="61"/>
      <c r="X108" s="42"/>
      <c r="Y108" s="7"/>
      <c r="Z108" s="6"/>
      <c r="AA108" s="6"/>
      <c r="AB108" s="8"/>
    </row>
    <row r="109" spans="1:28" ht="15.75" x14ac:dyDescent="0.3">
      <c r="A109" s="7"/>
      <c r="B109" s="7"/>
      <c r="C109" s="137"/>
      <c r="D109" s="7"/>
      <c r="E109" s="7"/>
      <c r="F109" s="6"/>
      <c r="G109" s="7"/>
      <c r="H109" s="20"/>
      <c r="I109" s="35"/>
      <c r="J109" s="35"/>
      <c r="K109" s="35"/>
      <c r="L109" s="119"/>
      <c r="M109" s="134"/>
      <c r="N109" s="36"/>
      <c r="O109" s="69"/>
      <c r="P109" s="69"/>
      <c r="Q109" s="69"/>
      <c r="R109" s="77"/>
      <c r="S109" s="61"/>
      <c r="T109" s="67"/>
      <c r="U109" s="67"/>
      <c r="V109" s="77"/>
      <c r="W109" s="61"/>
      <c r="X109" s="42"/>
      <c r="Y109" s="7"/>
      <c r="Z109" s="6"/>
      <c r="AA109" s="6"/>
      <c r="AB109" s="8"/>
    </row>
    <row r="110" spans="1:28" ht="15.75" x14ac:dyDescent="0.3">
      <c r="A110" s="7"/>
      <c r="B110" s="7"/>
      <c r="C110" s="6" t="s">
        <v>122</v>
      </c>
      <c r="D110" s="7"/>
      <c r="E110" s="7"/>
      <c r="F110" s="6"/>
      <c r="G110" s="7" t="s">
        <v>121</v>
      </c>
      <c r="H110" s="20">
        <v>1.29</v>
      </c>
      <c r="I110" s="35"/>
      <c r="J110" s="35"/>
      <c r="K110" s="35"/>
      <c r="L110" s="119"/>
      <c r="M110" s="134"/>
      <c r="N110" s="36"/>
      <c r="O110" s="36"/>
      <c r="P110" s="36"/>
      <c r="Q110" s="36"/>
      <c r="R110" s="78"/>
      <c r="S110" s="61"/>
      <c r="T110" s="67"/>
      <c r="U110" s="67"/>
      <c r="V110" s="78"/>
      <c r="W110" s="61"/>
      <c r="X110" s="42"/>
      <c r="Y110" s="7"/>
      <c r="Z110" s="6"/>
      <c r="AA110" s="6"/>
      <c r="AB110" s="8"/>
    </row>
    <row r="111" spans="1:28" ht="15.75" x14ac:dyDescent="0.3">
      <c r="A111" s="7"/>
      <c r="B111" s="7"/>
      <c r="C111" s="6"/>
      <c r="D111" s="7"/>
      <c r="E111" s="7"/>
      <c r="F111" s="6"/>
      <c r="G111" s="7"/>
      <c r="H111" s="20"/>
      <c r="I111" s="35"/>
      <c r="J111" s="35"/>
      <c r="K111" s="35"/>
      <c r="L111" s="119"/>
      <c r="M111" s="134"/>
      <c r="N111" s="36"/>
      <c r="O111" s="36"/>
      <c r="P111" s="36"/>
      <c r="Q111" s="36"/>
      <c r="R111" s="78"/>
      <c r="S111" s="61"/>
      <c r="T111" s="82"/>
      <c r="U111" s="82"/>
      <c r="V111" s="78"/>
      <c r="W111" s="61"/>
      <c r="X111" s="42"/>
      <c r="Y111" s="7"/>
      <c r="Z111" s="6"/>
      <c r="AA111" s="6"/>
      <c r="AB111" s="8"/>
    </row>
    <row r="112" spans="1:28" ht="15.75" x14ac:dyDescent="0.3">
      <c r="A112" s="7"/>
      <c r="B112" s="7"/>
      <c r="C112" s="6"/>
      <c r="D112" s="7"/>
      <c r="E112" s="7"/>
      <c r="F112" s="6"/>
      <c r="G112" s="7"/>
      <c r="H112" s="20"/>
      <c r="I112" s="35"/>
      <c r="J112" s="35"/>
      <c r="K112" s="35"/>
      <c r="L112" s="119"/>
      <c r="M112" s="134"/>
      <c r="N112" s="36"/>
      <c r="O112" s="36"/>
      <c r="P112" s="36"/>
      <c r="Q112" s="36"/>
      <c r="R112" s="78"/>
      <c r="S112" s="61"/>
      <c r="T112" s="82"/>
      <c r="U112" s="82"/>
      <c r="V112" s="78"/>
      <c r="W112" s="61"/>
      <c r="X112" s="42"/>
      <c r="Y112" s="7"/>
      <c r="Z112" s="6"/>
      <c r="AA112" s="6"/>
      <c r="AB112" s="8"/>
    </row>
    <row r="113" spans="1:28" x14ac:dyDescent="0.25">
      <c r="A113" s="7"/>
      <c r="B113" s="7"/>
      <c r="C113" s="6"/>
      <c r="D113" s="7"/>
      <c r="E113" s="7"/>
      <c r="F113" s="6"/>
      <c r="G113" s="7"/>
      <c r="H113" s="35"/>
      <c r="I113" s="35"/>
      <c r="J113" s="35"/>
      <c r="K113" s="35"/>
      <c r="L113" s="119"/>
      <c r="M113" s="134"/>
      <c r="N113" s="36"/>
      <c r="O113" s="36"/>
      <c r="P113" s="36"/>
      <c r="Q113" s="36"/>
      <c r="R113" s="78"/>
      <c r="S113" s="61"/>
      <c r="T113" s="82"/>
      <c r="U113" s="82"/>
      <c r="V113" s="78"/>
      <c r="W113" s="61"/>
      <c r="X113" s="42"/>
      <c r="Y113" s="7"/>
      <c r="Z113" s="6"/>
      <c r="AA113" s="6"/>
      <c r="AB113" s="8"/>
    </row>
    <row r="114" spans="1:28" x14ac:dyDescent="0.25">
      <c r="A114" s="7"/>
      <c r="B114" s="7"/>
      <c r="C114" s="6"/>
      <c r="D114" s="7"/>
      <c r="E114" s="7"/>
      <c r="F114" s="6"/>
      <c r="G114" s="7"/>
      <c r="H114" s="35"/>
      <c r="I114" s="35"/>
      <c r="J114" s="35"/>
      <c r="K114" s="35"/>
      <c r="L114" s="119"/>
      <c r="M114" s="134"/>
      <c r="N114" s="36"/>
      <c r="O114" s="36"/>
      <c r="P114" s="36"/>
      <c r="Q114" s="36"/>
      <c r="R114" s="78"/>
      <c r="S114" s="61"/>
      <c r="T114" s="82"/>
      <c r="U114" s="82"/>
      <c r="V114" s="78"/>
      <c r="W114" s="61"/>
      <c r="X114" s="42"/>
      <c r="Y114" s="7"/>
      <c r="Z114" s="6"/>
      <c r="AA114" s="6"/>
      <c r="AB114" s="8"/>
    </row>
    <row r="115" spans="1:28" x14ac:dyDescent="0.25">
      <c r="A115" s="7"/>
      <c r="B115" s="7"/>
      <c r="C115" s="6"/>
      <c r="D115" s="7"/>
      <c r="E115" s="7"/>
      <c r="F115" s="6"/>
      <c r="G115" s="7"/>
      <c r="H115" s="35"/>
      <c r="I115" s="35"/>
      <c r="J115" s="35"/>
      <c r="K115" s="35"/>
      <c r="L115" s="119"/>
      <c r="M115" s="134"/>
      <c r="N115" s="36"/>
      <c r="O115" s="36"/>
      <c r="P115" s="36"/>
      <c r="Q115" s="36"/>
      <c r="R115" s="78"/>
      <c r="S115" s="61"/>
      <c r="T115" s="82"/>
      <c r="U115" s="82"/>
      <c r="V115" s="78"/>
      <c r="W115" s="61"/>
      <c r="X115" s="42"/>
      <c r="Y115" s="7"/>
      <c r="Z115" s="6"/>
      <c r="AA115" s="6"/>
      <c r="AB115" s="8"/>
    </row>
    <row r="116" spans="1:28" x14ac:dyDescent="0.25">
      <c r="A116" s="7"/>
      <c r="B116" s="7"/>
      <c r="C116" s="6"/>
      <c r="D116" s="7"/>
      <c r="E116" s="7"/>
      <c r="F116" s="6"/>
      <c r="G116" s="7"/>
      <c r="H116" s="35"/>
      <c r="I116" s="35"/>
      <c r="J116" s="35"/>
      <c r="K116" s="35"/>
      <c r="L116" s="119"/>
      <c r="M116" s="134"/>
      <c r="N116" s="36"/>
      <c r="O116" s="36"/>
      <c r="P116" s="36"/>
      <c r="Q116" s="36"/>
      <c r="R116" s="78"/>
      <c r="S116" s="61"/>
      <c r="T116" s="82"/>
      <c r="U116" s="82"/>
      <c r="V116" s="78"/>
      <c r="W116" s="61"/>
      <c r="X116" s="42"/>
      <c r="Y116" s="7"/>
      <c r="Z116" s="6"/>
      <c r="AA116" s="6"/>
      <c r="AB116" s="8"/>
    </row>
    <row r="117" spans="1:28" x14ac:dyDescent="0.25">
      <c r="A117" s="7"/>
      <c r="B117" s="7"/>
      <c r="C117" s="6"/>
      <c r="D117" s="7"/>
      <c r="E117" s="7"/>
      <c r="F117" s="6"/>
      <c r="G117" s="7"/>
      <c r="H117" s="35"/>
      <c r="I117" s="35"/>
      <c r="J117" s="35"/>
      <c r="K117" s="35"/>
      <c r="L117" s="119"/>
      <c r="M117" s="134"/>
      <c r="N117" s="36"/>
      <c r="O117" s="36"/>
      <c r="P117" s="36"/>
      <c r="Q117" s="36"/>
      <c r="R117" s="78"/>
      <c r="S117" s="61"/>
      <c r="T117" s="82"/>
      <c r="U117" s="82"/>
      <c r="V117" s="78"/>
      <c r="W117" s="61"/>
      <c r="X117" s="42"/>
      <c r="Y117" s="7"/>
      <c r="Z117" s="6"/>
      <c r="AA117" s="6"/>
      <c r="AB117" s="8"/>
    </row>
    <row r="118" spans="1:28" x14ac:dyDescent="0.25">
      <c r="A118" s="7"/>
      <c r="B118" s="7"/>
      <c r="C118" s="6"/>
      <c r="D118" s="7"/>
      <c r="E118" s="7"/>
      <c r="F118" s="6"/>
      <c r="G118" s="7"/>
      <c r="H118" s="35"/>
      <c r="I118" s="35"/>
      <c r="J118" s="35"/>
      <c r="K118" s="35"/>
      <c r="L118" s="119"/>
      <c r="M118" s="134"/>
      <c r="N118" s="36"/>
      <c r="O118" s="36"/>
      <c r="P118" s="36"/>
      <c r="Q118" s="36"/>
      <c r="R118" s="78"/>
      <c r="S118" s="61"/>
      <c r="T118" s="82"/>
      <c r="U118" s="82"/>
      <c r="V118" s="78"/>
      <c r="W118" s="61"/>
      <c r="X118" s="42"/>
      <c r="Y118" s="7"/>
      <c r="Z118" s="6"/>
      <c r="AA118" s="6"/>
      <c r="AB118" s="8"/>
    </row>
    <row r="119" spans="1:28" x14ac:dyDescent="0.25">
      <c r="A119" s="7"/>
      <c r="B119" s="7"/>
      <c r="C119" s="6"/>
      <c r="D119" s="7"/>
      <c r="E119" s="7"/>
      <c r="F119" s="6"/>
      <c r="G119" s="7"/>
      <c r="H119" s="35"/>
      <c r="I119" s="35"/>
      <c r="J119" s="35"/>
      <c r="K119" s="35"/>
      <c r="L119" s="119"/>
      <c r="M119" s="134"/>
      <c r="N119" s="36"/>
      <c r="O119" s="36"/>
      <c r="P119" s="36"/>
      <c r="Q119" s="36"/>
      <c r="R119" s="78"/>
      <c r="S119" s="61"/>
      <c r="T119" s="82"/>
      <c r="U119" s="82"/>
      <c r="V119" s="78"/>
      <c r="W119" s="61"/>
      <c r="X119" s="42"/>
      <c r="Y119" s="7"/>
      <c r="Z119" s="6"/>
      <c r="AA119" s="6"/>
      <c r="AB119" s="8"/>
    </row>
    <row r="120" spans="1:28" x14ac:dyDescent="0.25">
      <c r="A120" s="7"/>
      <c r="B120" s="7"/>
      <c r="C120" s="6"/>
      <c r="D120" s="7"/>
      <c r="E120" s="7"/>
      <c r="F120" s="6"/>
      <c r="G120" s="7"/>
      <c r="H120" s="35"/>
      <c r="I120" s="35"/>
      <c r="J120" s="35"/>
      <c r="K120" s="35"/>
      <c r="L120" s="119"/>
      <c r="M120" s="134"/>
      <c r="N120" s="36"/>
      <c r="O120" s="36"/>
      <c r="P120" s="36"/>
      <c r="Q120" s="36"/>
      <c r="R120" s="78"/>
      <c r="S120" s="61"/>
      <c r="T120" s="82"/>
      <c r="U120" s="82"/>
      <c r="V120" s="78"/>
      <c r="W120" s="61"/>
      <c r="X120" s="42"/>
      <c r="Y120" s="7"/>
      <c r="Z120" s="6"/>
      <c r="AA120" s="6"/>
      <c r="AB120" s="8"/>
    </row>
    <row r="121" spans="1:28" x14ac:dyDescent="0.25">
      <c r="A121" s="7"/>
      <c r="B121" s="7"/>
      <c r="C121" s="6"/>
      <c r="D121" s="7"/>
      <c r="E121" s="7"/>
      <c r="F121" s="6"/>
      <c r="G121" s="7"/>
      <c r="H121" s="35"/>
      <c r="I121" s="35"/>
      <c r="J121" s="35"/>
      <c r="K121" s="35"/>
      <c r="L121" s="119"/>
      <c r="M121" s="134"/>
      <c r="N121" s="36"/>
      <c r="O121" s="36"/>
      <c r="P121" s="36"/>
      <c r="Q121" s="36"/>
      <c r="R121" s="78"/>
      <c r="S121" s="61"/>
      <c r="T121" s="82"/>
      <c r="U121" s="82"/>
      <c r="V121" s="78"/>
      <c r="W121" s="61"/>
      <c r="X121" s="42"/>
      <c r="Y121" s="7"/>
      <c r="Z121" s="6"/>
      <c r="AA121" s="6"/>
      <c r="AB121" s="8"/>
    </row>
    <row r="122" spans="1:28" x14ac:dyDescent="0.25">
      <c r="A122" s="7"/>
      <c r="B122" s="7"/>
      <c r="C122" s="6"/>
      <c r="D122" s="7"/>
      <c r="E122" s="7"/>
      <c r="F122" s="6"/>
      <c r="G122" s="7"/>
      <c r="H122" s="35"/>
      <c r="I122" s="35"/>
      <c r="J122" s="35"/>
      <c r="K122" s="35"/>
      <c r="L122" s="119"/>
      <c r="M122" s="134"/>
      <c r="N122" s="36"/>
      <c r="O122" s="36"/>
      <c r="P122" s="36"/>
      <c r="Q122" s="36"/>
      <c r="R122" s="78"/>
      <c r="S122" s="61"/>
      <c r="T122" s="82"/>
      <c r="U122" s="82"/>
      <c r="V122" s="78"/>
      <c r="W122" s="61"/>
      <c r="X122" s="8"/>
      <c r="Y122" s="7"/>
      <c r="Z122" s="6"/>
      <c r="AA122" s="6"/>
      <c r="AB122" s="8"/>
    </row>
    <row r="123" spans="1:28" x14ac:dyDescent="0.25">
      <c r="A123" s="7"/>
      <c r="B123" s="7"/>
      <c r="C123" s="6"/>
      <c r="D123" s="7"/>
      <c r="E123" s="7"/>
      <c r="F123" s="6"/>
      <c r="G123" s="7"/>
      <c r="H123" s="35"/>
      <c r="I123" s="35"/>
      <c r="J123" s="35"/>
      <c r="K123" s="35"/>
      <c r="L123" s="119"/>
      <c r="M123" s="134"/>
      <c r="N123" s="36"/>
      <c r="O123" s="36"/>
      <c r="P123" s="36"/>
      <c r="Q123" s="36"/>
      <c r="R123" s="78"/>
      <c r="S123" s="61"/>
      <c r="T123" s="82"/>
      <c r="U123" s="82"/>
      <c r="V123" s="78"/>
      <c r="W123" s="61"/>
      <c r="X123" s="8"/>
      <c r="Y123" s="7"/>
      <c r="Z123" s="6"/>
      <c r="AA123" s="6"/>
      <c r="AB123" s="8"/>
    </row>
    <row r="124" spans="1:28" x14ac:dyDescent="0.25">
      <c r="A124" s="7"/>
      <c r="B124" s="7"/>
      <c r="C124" s="6"/>
      <c r="D124" s="7"/>
      <c r="E124" s="7"/>
      <c r="F124" s="6"/>
      <c r="G124" s="7"/>
      <c r="H124" s="35"/>
      <c r="I124" s="35"/>
      <c r="J124" s="35"/>
      <c r="K124" s="35"/>
      <c r="L124" s="119"/>
      <c r="M124" s="134"/>
      <c r="N124" s="36"/>
      <c r="O124" s="36"/>
      <c r="P124" s="36"/>
      <c r="Q124" s="36"/>
      <c r="R124" s="78"/>
      <c r="S124" s="61"/>
      <c r="T124" s="82"/>
      <c r="U124" s="82"/>
      <c r="V124" s="78"/>
      <c r="W124" s="61"/>
      <c r="X124" s="8"/>
      <c r="Y124" s="7"/>
      <c r="Z124" s="6"/>
      <c r="AA124" s="6"/>
      <c r="AB124" s="8"/>
    </row>
    <row r="125" spans="1:28" x14ac:dyDescent="0.25">
      <c r="A125" s="7"/>
      <c r="B125" s="7"/>
      <c r="C125" s="6"/>
      <c r="D125" s="7"/>
      <c r="E125" s="7"/>
      <c r="F125" s="6"/>
      <c r="G125" s="7"/>
      <c r="H125" s="35"/>
      <c r="I125" s="35"/>
      <c r="J125" s="35"/>
      <c r="K125" s="35"/>
      <c r="L125" s="119"/>
      <c r="M125" s="134"/>
      <c r="N125" s="36"/>
      <c r="O125" s="36"/>
      <c r="P125" s="36"/>
      <c r="Q125" s="36"/>
      <c r="R125" s="78"/>
      <c r="S125" s="61"/>
      <c r="T125" s="82"/>
      <c r="U125" s="82"/>
      <c r="V125" s="78"/>
      <c r="W125" s="61"/>
      <c r="X125" s="8"/>
      <c r="Y125" s="7"/>
      <c r="Z125" s="6"/>
      <c r="AA125" s="6"/>
      <c r="AB125" s="8"/>
    </row>
    <row r="126" spans="1:28" x14ac:dyDescent="0.25">
      <c r="A126" s="7"/>
      <c r="B126" s="7"/>
      <c r="C126" s="6"/>
      <c r="D126" s="7"/>
      <c r="E126" s="7"/>
      <c r="F126" s="6"/>
      <c r="G126" s="7"/>
      <c r="H126" s="35"/>
      <c r="I126" s="35"/>
      <c r="J126" s="35"/>
      <c r="K126" s="35"/>
      <c r="L126" s="119"/>
      <c r="M126" s="134"/>
      <c r="N126" s="36"/>
      <c r="O126" s="36"/>
      <c r="P126" s="36"/>
      <c r="Q126" s="36"/>
      <c r="R126" s="78"/>
      <c r="S126" s="61"/>
      <c r="T126" s="82"/>
      <c r="U126" s="82"/>
      <c r="V126" s="78"/>
      <c r="W126" s="61"/>
      <c r="X126" s="8"/>
      <c r="Y126" s="7"/>
      <c r="Z126" s="6"/>
      <c r="AA126" s="6"/>
      <c r="AB126" s="8"/>
    </row>
    <row r="127" spans="1:28" x14ac:dyDescent="0.25">
      <c r="A127" s="7"/>
      <c r="B127" s="7"/>
      <c r="C127" s="6"/>
      <c r="D127" s="7"/>
      <c r="E127" s="7"/>
      <c r="F127" s="6"/>
      <c r="G127" s="7"/>
      <c r="H127" s="35"/>
      <c r="I127" s="35"/>
      <c r="J127" s="35"/>
      <c r="K127" s="35"/>
      <c r="L127" s="35"/>
      <c r="M127" s="135"/>
      <c r="N127" s="36"/>
      <c r="O127" s="36"/>
      <c r="P127" s="36"/>
      <c r="Q127" s="36"/>
      <c r="R127" s="78"/>
      <c r="S127" s="61"/>
      <c r="T127" s="82"/>
      <c r="U127" s="82"/>
      <c r="V127" s="78"/>
      <c r="W127" s="61"/>
      <c r="X127" s="8"/>
      <c r="Y127" s="7"/>
      <c r="Z127" s="6"/>
      <c r="AA127" s="6"/>
      <c r="AB127" s="8"/>
    </row>
    <row r="128" spans="1:28" x14ac:dyDescent="0.25">
      <c r="A128" s="7"/>
      <c r="B128" s="7"/>
      <c r="C128" s="6"/>
      <c r="D128" s="7"/>
      <c r="E128" s="7"/>
      <c r="F128" s="6"/>
      <c r="G128" s="7"/>
      <c r="H128" s="35"/>
      <c r="I128" s="35"/>
      <c r="J128" s="35"/>
      <c r="K128" s="35"/>
      <c r="L128" s="35"/>
      <c r="M128" s="135"/>
      <c r="N128" s="36"/>
      <c r="O128" s="36"/>
      <c r="P128" s="36"/>
      <c r="Q128" s="36"/>
      <c r="R128" s="78"/>
      <c r="S128" s="61"/>
      <c r="T128" s="82"/>
      <c r="U128" s="82"/>
      <c r="V128" s="78"/>
      <c r="W128" s="61"/>
      <c r="X128" s="8"/>
      <c r="Y128" s="7"/>
      <c r="Z128" s="6"/>
      <c r="AA128" s="6"/>
      <c r="AB128" s="8"/>
    </row>
    <row r="129" spans="1:28" x14ac:dyDescent="0.25">
      <c r="A129" s="7"/>
      <c r="B129" s="7"/>
      <c r="C129" s="6"/>
      <c r="D129" s="7"/>
      <c r="E129" s="7"/>
      <c r="F129" s="6"/>
      <c r="G129" s="7"/>
      <c r="H129" s="35"/>
      <c r="I129" s="35"/>
      <c r="J129" s="35"/>
      <c r="K129" s="35"/>
      <c r="L129" s="35"/>
      <c r="M129" s="135"/>
      <c r="N129" s="36"/>
      <c r="O129" s="36"/>
      <c r="P129" s="36"/>
      <c r="Q129" s="36"/>
      <c r="R129" s="78"/>
      <c r="S129" s="61"/>
      <c r="T129" s="82"/>
      <c r="U129" s="82"/>
      <c r="V129" s="78"/>
      <c r="W129" s="61"/>
      <c r="X129" s="8"/>
      <c r="Y129" s="7"/>
      <c r="Z129" s="6"/>
      <c r="AA129" s="6"/>
      <c r="AB129" s="8"/>
    </row>
    <row r="130" spans="1:28" x14ac:dyDescent="0.25">
      <c r="A130" s="7"/>
      <c r="B130" s="7"/>
      <c r="C130" s="6"/>
      <c r="D130" s="7"/>
      <c r="E130" s="7"/>
      <c r="F130" s="6"/>
      <c r="G130" s="7"/>
      <c r="H130" s="35"/>
      <c r="I130" s="35"/>
      <c r="J130" s="35"/>
      <c r="K130" s="35"/>
      <c r="L130" s="35"/>
      <c r="M130" s="135"/>
      <c r="N130" s="36"/>
      <c r="O130" s="36"/>
      <c r="P130" s="36"/>
      <c r="Q130" s="36"/>
      <c r="R130" s="78"/>
      <c r="S130" s="61"/>
      <c r="T130" s="82"/>
      <c r="U130" s="82"/>
      <c r="V130" s="78"/>
      <c r="W130" s="61"/>
      <c r="X130" s="8"/>
      <c r="Y130" s="7"/>
      <c r="Z130" s="6"/>
      <c r="AA130" s="6"/>
      <c r="AB130" s="8"/>
    </row>
    <row r="131" spans="1:28" x14ac:dyDescent="0.25">
      <c r="A131" s="7"/>
      <c r="B131" s="7"/>
      <c r="C131" s="6"/>
      <c r="D131" s="7"/>
      <c r="E131" s="7"/>
      <c r="F131" s="6"/>
      <c r="G131" s="7"/>
      <c r="H131" s="35"/>
      <c r="I131" s="35"/>
      <c r="J131" s="35"/>
      <c r="K131" s="35"/>
      <c r="L131" s="35"/>
      <c r="M131" s="135"/>
      <c r="N131" s="36"/>
      <c r="O131" s="36"/>
      <c r="P131" s="36"/>
      <c r="Q131" s="36"/>
      <c r="R131" s="78"/>
      <c r="S131" s="61"/>
      <c r="T131" s="82"/>
      <c r="U131" s="82"/>
      <c r="V131" s="78"/>
      <c r="W131" s="61"/>
      <c r="X131" s="8"/>
      <c r="Y131" s="7"/>
      <c r="Z131" s="6"/>
      <c r="AA131" s="6"/>
      <c r="AB131" s="8"/>
    </row>
    <row r="132" spans="1:28" x14ac:dyDescent="0.25">
      <c r="A132" s="7"/>
      <c r="B132" s="7"/>
      <c r="C132" s="6"/>
      <c r="D132" s="7"/>
      <c r="E132" s="7"/>
      <c r="F132" s="6"/>
      <c r="G132" s="7"/>
      <c r="H132" s="35"/>
      <c r="I132" s="35"/>
      <c r="J132" s="35"/>
      <c r="K132" s="35"/>
      <c r="L132" s="35"/>
      <c r="M132" s="135"/>
      <c r="N132" s="36"/>
      <c r="O132" s="36"/>
      <c r="P132" s="36"/>
      <c r="Q132" s="36"/>
      <c r="R132" s="78"/>
      <c r="S132" s="61"/>
      <c r="T132" s="82"/>
      <c r="U132" s="82"/>
      <c r="V132" s="78"/>
      <c r="W132" s="61"/>
      <c r="X132" s="8"/>
      <c r="Y132" s="7"/>
      <c r="Z132" s="6"/>
      <c r="AA132" s="6"/>
      <c r="AB132" s="8"/>
    </row>
    <row r="133" spans="1:28" x14ac:dyDescent="0.25">
      <c r="A133" s="7"/>
      <c r="B133" s="7"/>
      <c r="C133" s="6"/>
      <c r="D133" s="7"/>
      <c r="E133" s="7"/>
      <c r="F133" s="6"/>
      <c r="G133" s="7"/>
      <c r="H133" s="35"/>
      <c r="I133" s="35"/>
      <c r="J133" s="35"/>
      <c r="K133" s="35"/>
      <c r="L133" s="35"/>
      <c r="M133" s="135"/>
      <c r="N133" s="36"/>
      <c r="O133" s="36"/>
      <c r="P133" s="36"/>
      <c r="Q133" s="36"/>
      <c r="R133" s="78"/>
      <c r="S133" s="61"/>
      <c r="T133" s="82"/>
      <c r="U133" s="82"/>
      <c r="V133" s="78"/>
      <c r="W133" s="61"/>
      <c r="X133" s="8"/>
      <c r="Y133" s="7"/>
      <c r="Z133" s="6"/>
      <c r="AA133" s="6"/>
      <c r="AB133" s="8"/>
    </row>
    <row r="134" spans="1:28" x14ac:dyDescent="0.25">
      <c r="A134" s="7"/>
      <c r="B134" s="7"/>
      <c r="C134" s="6"/>
      <c r="D134" s="7"/>
      <c r="E134" s="7"/>
      <c r="F134" s="6"/>
      <c r="G134" s="7"/>
      <c r="H134" s="35"/>
      <c r="I134" s="35"/>
      <c r="J134" s="35"/>
      <c r="K134" s="35"/>
      <c r="L134" s="35"/>
      <c r="M134" s="135"/>
      <c r="N134" s="36"/>
      <c r="O134" s="36"/>
      <c r="P134" s="36"/>
      <c r="Q134" s="36"/>
      <c r="R134" s="78"/>
      <c r="S134" s="61"/>
      <c r="T134" s="82"/>
      <c r="U134" s="82"/>
      <c r="V134" s="78"/>
      <c r="W134" s="61"/>
      <c r="X134" s="8"/>
      <c r="Y134" s="7"/>
      <c r="Z134" s="6"/>
      <c r="AA134" s="6"/>
      <c r="AB134" s="8"/>
    </row>
    <row r="135" spans="1:28" x14ac:dyDescent="0.25">
      <c r="A135" s="7"/>
      <c r="B135" s="7"/>
      <c r="C135" s="6"/>
      <c r="D135" s="7"/>
      <c r="E135" s="7"/>
      <c r="F135" s="6"/>
      <c r="G135" s="7"/>
      <c r="H135" s="35"/>
      <c r="I135" s="35"/>
      <c r="J135" s="35"/>
      <c r="K135" s="35"/>
      <c r="L135" s="35"/>
      <c r="M135" s="135"/>
      <c r="N135" s="36"/>
      <c r="O135" s="36"/>
      <c r="P135" s="36"/>
      <c r="Q135" s="36"/>
      <c r="R135" s="78"/>
      <c r="S135" s="61"/>
      <c r="T135" s="82"/>
      <c r="U135" s="82"/>
      <c r="V135" s="78"/>
      <c r="W135" s="61"/>
      <c r="X135" s="8"/>
      <c r="Y135" s="7"/>
      <c r="Z135" s="6"/>
      <c r="AA135" s="6"/>
      <c r="AB135" s="8"/>
    </row>
    <row r="136" spans="1:28" x14ac:dyDescent="0.25">
      <c r="A136" s="7"/>
      <c r="B136" s="7"/>
      <c r="C136" s="6"/>
      <c r="D136" s="7"/>
      <c r="E136" s="7"/>
      <c r="F136" s="6"/>
      <c r="G136" s="7"/>
      <c r="H136" s="35"/>
      <c r="I136" s="35"/>
      <c r="J136" s="35"/>
      <c r="K136" s="35"/>
      <c r="L136" s="35"/>
      <c r="M136" s="135"/>
      <c r="N136" s="36"/>
      <c r="O136" s="36"/>
      <c r="P136" s="36"/>
      <c r="Q136" s="36"/>
      <c r="R136" s="78"/>
      <c r="S136" s="61"/>
      <c r="T136" s="82"/>
      <c r="U136" s="82"/>
      <c r="V136" s="78"/>
      <c r="W136" s="61"/>
      <c r="X136" s="8"/>
      <c r="Y136" s="7"/>
      <c r="Z136" s="6"/>
      <c r="AA136" s="6"/>
      <c r="AB136" s="8"/>
    </row>
    <row r="137" spans="1:28" x14ac:dyDescent="0.25">
      <c r="A137" s="7"/>
      <c r="B137" s="7"/>
      <c r="C137" s="6"/>
      <c r="D137" s="7"/>
      <c r="E137" s="7"/>
      <c r="F137" s="6"/>
      <c r="G137" s="7"/>
      <c r="H137" s="35"/>
      <c r="I137" s="35"/>
      <c r="J137" s="35"/>
      <c r="K137" s="35"/>
      <c r="L137" s="35"/>
      <c r="M137" s="135"/>
      <c r="N137" s="36"/>
      <c r="O137" s="36"/>
      <c r="P137" s="36"/>
      <c r="Q137" s="36"/>
      <c r="R137" s="78"/>
      <c r="S137" s="61"/>
      <c r="T137" s="82"/>
      <c r="U137" s="82"/>
      <c r="V137" s="78"/>
      <c r="W137" s="61"/>
      <c r="X137" s="8"/>
      <c r="Y137" s="7"/>
    </row>
    <row r="138" spans="1:28" x14ac:dyDescent="0.25">
      <c r="A138" s="7"/>
      <c r="B138" s="7"/>
      <c r="C138" s="6"/>
      <c r="D138" s="7"/>
      <c r="E138" s="7"/>
      <c r="F138" s="6"/>
      <c r="G138" s="7"/>
      <c r="H138" s="35"/>
      <c r="I138" s="35"/>
      <c r="J138" s="35"/>
      <c r="K138" s="35"/>
      <c r="L138" s="35"/>
      <c r="M138" s="135"/>
      <c r="S138" s="62"/>
      <c r="T138" s="83"/>
      <c r="U138" s="83"/>
      <c r="W138" s="62"/>
    </row>
    <row r="139" spans="1:28" x14ac:dyDescent="0.25">
      <c r="A139" s="7"/>
      <c r="B139" s="7"/>
      <c r="C139" s="6"/>
      <c r="D139" s="7"/>
      <c r="E139" s="7"/>
      <c r="F139" s="6"/>
      <c r="G139" s="7"/>
      <c r="H139" s="35"/>
      <c r="I139" s="35"/>
      <c r="J139" s="35"/>
      <c r="K139" s="35"/>
      <c r="L139" s="35"/>
      <c r="M139" s="135"/>
      <c r="S139" s="62"/>
      <c r="T139" s="83"/>
      <c r="U139" s="83"/>
      <c r="W139" s="62"/>
    </row>
    <row r="140" spans="1:28" x14ac:dyDescent="0.25">
      <c r="S140" s="62"/>
      <c r="T140" s="83"/>
      <c r="U140" s="83"/>
      <c r="W140" s="62"/>
    </row>
    <row r="141" spans="1:28" x14ac:dyDescent="0.25">
      <c r="S141" s="62"/>
      <c r="T141" s="83"/>
      <c r="U141" s="83"/>
      <c r="W141" s="62"/>
    </row>
    <row r="142" spans="1:28" x14ac:dyDescent="0.25">
      <c r="S142" s="62"/>
      <c r="T142" s="83"/>
      <c r="U142" s="83"/>
      <c r="W142" s="62"/>
    </row>
    <row r="143" spans="1:28" x14ac:dyDescent="0.25">
      <c r="S143" s="62"/>
      <c r="T143" s="83"/>
      <c r="U143" s="83"/>
      <c r="W143" s="62"/>
    </row>
    <row r="144" spans="1:28" x14ac:dyDescent="0.25">
      <c r="T144" s="83"/>
      <c r="U144" s="83"/>
    </row>
    <row r="145" spans="20:21" x14ac:dyDescent="0.25">
      <c r="T145" s="83"/>
      <c r="U145" s="83"/>
    </row>
    <row r="146" spans="20:21" x14ac:dyDescent="0.25">
      <c r="T146" s="83"/>
      <c r="U146" s="83"/>
    </row>
    <row r="147" spans="20:21" x14ac:dyDescent="0.25">
      <c r="T147" s="83"/>
      <c r="U147" s="83"/>
    </row>
    <row r="148" spans="20:21" x14ac:dyDescent="0.25">
      <c r="T148" s="83"/>
      <c r="U148" s="83"/>
    </row>
    <row r="149" spans="20:21" x14ac:dyDescent="0.25">
      <c r="T149" s="83"/>
      <c r="U149" s="83"/>
    </row>
    <row r="150" spans="20:21" x14ac:dyDescent="0.25">
      <c r="T150" s="83"/>
      <c r="U150" s="83"/>
    </row>
    <row r="151" spans="20:21" x14ac:dyDescent="0.25">
      <c r="T151" s="83"/>
      <c r="U151" s="83"/>
    </row>
    <row r="152" spans="20:21" x14ac:dyDescent="0.25">
      <c r="T152" s="83"/>
      <c r="U152" s="83"/>
    </row>
    <row r="153" spans="20:21" x14ac:dyDescent="0.25">
      <c r="T153" s="83"/>
      <c r="U153" s="83"/>
    </row>
    <row r="154" spans="20:21" x14ac:dyDescent="0.25">
      <c r="T154" s="83"/>
      <c r="U154" s="83"/>
    </row>
    <row r="155" spans="20:21" x14ac:dyDescent="0.25">
      <c r="T155" s="83"/>
      <c r="U155" s="83"/>
    </row>
    <row r="156" spans="20:21" x14ac:dyDescent="0.25">
      <c r="T156" s="83"/>
      <c r="U156" s="83"/>
    </row>
    <row r="157" spans="20:21" x14ac:dyDescent="0.25">
      <c r="T157" s="83"/>
      <c r="U157" s="83"/>
    </row>
    <row r="158" spans="20:21" x14ac:dyDescent="0.25">
      <c r="T158" s="83"/>
      <c r="U158" s="83"/>
    </row>
    <row r="159" spans="20:21" x14ac:dyDescent="0.25">
      <c r="T159" s="83"/>
      <c r="U159" s="83"/>
    </row>
    <row r="160" spans="20:21" x14ac:dyDescent="0.25">
      <c r="T160" s="83"/>
      <c r="U160" s="83"/>
    </row>
    <row r="161" spans="20:21" x14ac:dyDescent="0.25">
      <c r="T161" s="83"/>
      <c r="U161" s="83"/>
    </row>
    <row r="162" spans="20:21" x14ac:dyDescent="0.25">
      <c r="T162" s="83"/>
      <c r="U162" s="83"/>
    </row>
    <row r="163" spans="20:21" x14ac:dyDescent="0.25">
      <c r="T163" s="83"/>
      <c r="U163" s="83"/>
    </row>
    <row r="164" spans="20:21" x14ac:dyDescent="0.25">
      <c r="T164" s="83"/>
      <c r="U164" s="83"/>
    </row>
    <row r="165" spans="20:21" x14ac:dyDescent="0.25">
      <c r="T165" s="83"/>
      <c r="U165" s="83"/>
    </row>
    <row r="166" spans="20:21" x14ac:dyDescent="0.25">
      <c r="T166" s="83"/>
      <c r="U166" s="83"/>
    </row>
    <row r="167" spans="20:21" x14ac:dyDescent="0.25">
      <c r="T167" s="83"/>
      <c r="U167" s="83"/>
    </row>
    <row r="168" spans="20:21" x14ac:dyDescent="0.25">
      <c r="T168" s="83"/>
      <c r="U168" s="83"/>
    </row>
    <row r="169" spans="20:21" x14ac:dyDescent="0.25">
      <c r="T169" s="83"/>
      <c r="U169" s="83"/>
    </row>
    <row r="170" spans="20:21" x14ac:dyDescent="0.25">
      <c r="T170" s="83"/>
      <c r="U170" s="83"/>
    </row>
    <row r="171" spans="20:21" x14ac:dyDescent="0.25">
      <c r="T171" s="83"/>
      <c r="U171" s="83"/>
    </row>
    <row r="172" spans="20:21" x14ac:dyDescent="0.25">
      <c r="T172" s="83"/>
      <c r="U172" s="83"/>
    </row>
    <row r="173" spans="20:21" x14ac:dyDescent="0.25">
      <c r="T173" s="83"/>
      <c r="U173" s="83"/>
    </row>
    <row r="174" spans="20:21" x14ac:dyDescent="0.25">
      <c r="T174" s="83"/>
      <c r="U174" s="83"/>
    </row>
    <row r="175" spans="20:21" x14ac:dyDescent="0.25">
      <c r="T175" s="83"/>
      <c r="U175" s="83"/>
    </row>
    <row r="176" spans="20:21" x14ac:dyDescent="0.25">
      <c r="T176" s="83"/>
      <c r="U176" s="83"/>
    </row>
    <row r="177" spans="20:21" x14ac:dyDescent="0.25">
      <c r="T177" s="83"/>
      <c r="U177" s="83"/>
    </row>
    <row r="178" spans="20:21" x14ac:dyDescent="0.25">
      <c r="T178" s="83"/>
      <c r="U178" s="83"/>
    </row>
    <row r="179" spans="20:21" x14ac:dyDescent="0.25">
      <c r="T179" s="83"/>
      <c r="U179" s="83"/>
    </row>
    <row r="180" spans="20:21" x14ac:dyDescent="0.25">
      <c r="T180" s="83"/>
      <c r="U180" s="83"/>
    </row>
    <row r="181" spans="20:21" x14ac:dyDescent="0.25">
      <c r="T181" s="83"/>
      <c r="U181" s="83"/>
    </row>
    <row r="182" spans="20:21" x14ac:dyDescent="0.25">
      <c r="T182" s="83"/>
      <c r="U182" s="83"/>
    </row>
    <row r="183" spans="20:21" x14ac:dyDescent="0.25">
      <c r="T183" s="83"/>
      <c r="U183" s="83"/>
    </row>
    <row r="184" spans="20:21" x14ac:dyDescent="0.25">
      <c r="T184" s="83"/>
      <c r="U184" s="83"/>
    </row>
    <row r="185" spans="20:21" x14ac:dyDescent="0.25">
      <c r="T185" s="83"/>
      <c r="U185" s="83"/>
    </row>
    <row r="186" spans="20:21" x14ac:dyDescent="0.25">
      <c r="T186" s="83"/>
      <c r="U186" s="83"/>
    </row>
    <row r="187" spans="20:21" x14ac:dyDescent="0.25">
      <c r="T187" s="83"/>
      <c r="U187" s="83"/>
    </row>
    <row r="188" spans="20:21" x14ac:dyDescent="0.25">
      <c r="T188" s="83"/>
      <c r="U188" s="83"/>
    </row>
    <row r="189" spans="20:21" x14ac:dyDescent="0.25">
      <c r="T189" s="83"/>
      <c r="U189" s="83"/>
    </row>
    <row r="190" spans="20:21" x14ac:dyDescent="0.25">
      <c r="T190" s="83"/>
      <c r="U190" s="83"/>
    </row>
    <row r="191" spans="20:21" x14ac:dyDescent="0.25">
      <c r="T191" s="83"/>
      <c r="U191" s="83"/>
    </row>
    <row r="192" spans="20:21" x14ac:dyDescent="0.25">
      <c r="T192" s="83"/>
      <c r="U192" s="83"/>
    </row>
    <row r="193" spans="20:21" x14ac:dyDescent="0.25">
      <c r="T193" s="83"/>
      <c r="U193" s="83"/>
    </row>
    <row r="194" spans="20:21" x14ac:dyDescent="0.25">
      <c r="T194" s="83"/>
      <c r="U194" s="83"/>
    </row>
    <row r="195" spans="20:21" x14ac:dyDescent="0.25">
      <c r="T195" s="83"/>
      <c r="U195" s="83"/>
    </row>
    <row r="196" spans="20:21" x14ac:dyDescent="0.25">
      <c r="T196" s="83"/>
      <c r="U196" s="83"/>
    </row>
    <row r="197" spans="20:21" x14ac:dyDescent="0.25">
      <c r="T197" s="83"/>
      <c r="U197" s="83"/>
    </row>
    <row r="198" spans="20:21" x14ac:dyDescent="0.25">
      <c r="T198" s="83"/>
      <c r="U198" s="83"/>
    </row>
    <row r="199" spans="20:21" x14ac:dyDescent="0.25">
      <c r="T199" s="83"/>
      <c r="U199" s="83"/>
    </row>
    <row r="200" spans="20:21" x14ac:dyDescent="0.25">
      <c r="T200" s="83"/>
      <c r="U200" s="83"/>
    </row>
    <row r="201" spans="20:21" x14ac:dyDescent="0.25">
      <c r="T201" s="83"/>
      <c r="U201" s="83"/>
    </row>
    <row r="202" spans="20:21" x14ac:dyDescent="0.25">
      <c r="T202" s="83"/>
      <c r="U202" s="83"/>
    </row>
    <row r="203" spans="20:21" x14ac:dyDescent="0.25">
      <c r="T203" s="83"/>
      <c r="U203" s="83"/>
    </row>
    <row r="204" spans="20:21" x14ac:dyDescent="0.25">
      <c r="T204" s="83"/>
      <c r="U204" s="83"/>
    </row>
    <row r="205" spans="20:21" x14ac:dyDescent="0.25">
      <c r="T205" s="83"/>
      <c r="U205" s="83"/>
    </row>
    <row r="206" spans="20:21" x14ac:dyDescent="0.25">
      <c r="T206" s="83"/>
      <c r="U206" s="83"/>
    </row>
    <row r="207" spans="20:21" x14ac:dyDescent="0.25">
      <c r="T207" s="83"/>
      <c r="U207" s="83"/>
    </row>
    <row r="208" spans="20:21" x14ac:dyDescent="0.25">
      <c r="T208" s="83"/>
      <c r="U208" s="83"/>
    </row>
    <row r="209" spans="20:21" x14ac:dyDescent="0.25">
      <c r="T209" s="83"/>
      <c r="U209" s="83"/>
    </row>
    <row r="210" spans="20:21" x14ac:dyDescent="0.25">
      <c r="T210" s="83"/>
      <c r="U210" s="83"/>
    </row>
    <row r="211" spans="20:21" x14ac:dyDescent="0.25">
      <c r="T211" s="83"/>
      <c r="U211" s="83"/>
    </row>
    <row r="212" spans="20:21" x14ac:dyDescent="0.25">
      <c r="T212" s="83"/>
      <c r="U212" s="83"/>
    </row>
    <row r="213" spans="20:21" x14ac:dyDescent="0.25">
      <c r="T213" s="83"/>
      <c r="U213" s="83"/>
    </row>
    <row r="214" spans="20:21" x14ac:dyDescent="0.25">
      <c r="T214" s="83"/>
      <c r="U214" s="83"/>
    </row>
    <row r="215" spans="20:21" x14ac:dyDescent="0.25">
      <c r="T215" s="83"/>
      <c r="U215" s="83"/>
    </row>
    <row r="216" spans="20:21" x14ac:dyDescent="0.25">
      <c r="T216" s="83"/>
      <c r="U216" s="83"/>
    </row>
    <row r="217" spans="20:21" x14ac:dyDescent="0.25">
      <c r="T217" s="83"/>
      <c r="U217" s="83"/>
    </row>
    <row r="218" spans="20:21" x14ac:dyDescent="0.25">
      <c r="T218" s="83"/>
      <c r="U218" s="83"/>
    </row>
    <row r="219" spans="20:21" x14ac:dyDescent="0.25">
      <c r="T219" s="83"/>
      <c r="U219" s="83"/>
    </row>
    <row r="220" spans="20:21" x14ac:dyDescent="0.25">
      <c r="T220" s="83"/>
      <c r="U220" s="83"/>
    </row>
    <row r="221" spans="20:21" x14ac:dyDescent="0.25">
      <c r="T221" s="83"/>
      <c r="U221" s="83"/>
    </row>
    <row r="222" spans="20:21" x14ac:dyDescent="0.25">
      <c r="T222" s="83"/>
      <c r="U222" s="83"/>
    </row>
    <row r="223" spans="20:21" x14ac:dyDescent="0.25">
      <c r="T223" s="83"/>
      <c r="U223" s="83"/>
    </row>
    <row r="224" spans="20:21" x14ac:dyDescent="0.25">
      <c r="T224" s="83"/>
      <c r="U224" s="83"/>
    </row>
    <row r="225" spans="20:21" x14ac:dyDescent="0.25">
      <c r="T225" s="83"/>
      <c r="U225" s="83"/>
    </row>
    <row r="226" spans="20:21" x14ac:dyDescent="0.25">
      <c r="T226" s="83"/>
      <c r="U226" s="83"/>
    </row>
    <row r="227" spans="20:21" x14ac:dyDescent="0.25">
      <c r="T227" s="83"/>
      <c r="U227" s="83"/>
    </row>
    <row r="228" spans="20:21" x14ac:dyDescent="0.25">
      <c r="T228" s="83"/>
      <c r="U228" s="83"/>
    </row>
    <row r="229" spans="20:21" x14ac:dyDescent="0.25">
      <c r="T229" s="83"/>
      <c r="U229" s="83"/>
    </row>
    <row r="230" spans="20:21" x14ac:dyDescent="0.25">
      <c r="T230" s="83"/>
      <c r="U230" s="83"/>
    </row>
    <row r="231" spans="20:21" x14ac:dyDescent="0.25">
      <c r="T231" s="83"/>
      <c r="U231" s="83"/>
    </row>
    <row r="232" spans="20:21" x14ac:dyDescent="0.25">
      <c r="T232" s="83"/>
      <c r="U232" s="83"/>
    </row>
    <row r="233" spans="20:21" x14ac:dyDescent="0.25">
      <c r="T233" s="83"/>
      <c r="U233" s="83"/>
    </row>
    <row r="234" spans="20:21" x14ac:dyDescent="0.25">
      <c r="T234" s="83"/>
      <c r="U234" s="83"/>
    </row>
    <row r="235" spans="20:21" x14ac:dyDescent="0.25">
      <c r="T235" s="83"/>
      <c r="U235" s="83"/>
    </row>
    <row r="236" spans="20:21" x14ac:dyDescent="0.25">
      <c r="T236" s="83"/>
      <c r="U236" s="83"/>
    </row>
    <row r="237" spans="20:21" x14ac:dyDescent="0.25">
      <c r="T237" s="83"/>
      <c r="U237" s="83"/>
    </row>
    <row r="238" spans="20:21" x14ac:dyDescent="0.25">
      <c r="T238" s="83"/>
      <c r="U238" s="83"/>
    </row>
    <row r="239" spans="20:21" x14ac:dyDescent="0.25">
      <c r="T239" s="83"/>
      <c r="U239" s="83"/>
    </row>
    <row r="240" spans="20:21" x14ac:dyDescent="0.25">
      <c r="T240" s="83"/>
      <c r="U240" s="83"/>
    </row>
    <row r="241" spans="20:21" x14ac:dyDescent="0.25">
      <c r="T241" s="83"/>
      <c r="U241" s="83"/>
    </row>
    <row r="242" spans="20:21" x14ac:dyDescent="0.25">
      <c r="T242" s="83"/>
      <c r="U242" s="83"/>
    </row>
    <row r="243" spans="20:21" x14ac:dyDescent="0.25">
      <c r="T243" s="83"/>
      <c r="U243" s="83"/>
    </row>
    <row r="244" spans="20:21" x14ac:dyDescent="0.25">
      <c r="T244" s="83"/>
      <c r="U244" s="83"/>
    </row>
    <row r="245" spans="20:21" x14ac:dyDescent="0.25">
      <c r="T245" s="83"/>
      <c r="U245" s="83"/>
    </row>
    <row r="246" spans="20:21" x14ac:dyDescent="0.25">
      <c r="T246" s="83"/>
      <c r="U246" s="83"/>
    </row>
    <row r="247" spans="20:21" x14ac:dyDescent="0.25">
      <c r="T247" s="83"/>
      <c r="U247" s="83"/>
    </row>
    <row r="248" spans="20:21" x14ac:dyDescent="0.25">
      <c r="T248" s="83"/>
      <c r="U248" s="83"/>
    </row>
    <row r="249" spans="20:21" x14ac:dyDescent="0.25">
      <c r="T249" s="83"/>
      <c r="U249" s="83"/>
    </row>
    <row r="250" spans="20:21" x14ac:dyDescent="0.25">
      <c r="T250" s="83"/>
      <c r="U250" s="83"/>
    </row>
    <row r="251" spans="20:21" x14ac:dyDescent="0.25">
      <c r="T251" s="83"/>
      <c r="U251" s="83"/>
    </row>
    <row r="252" spans="20:21" x14ac:dyDescent="0.25">
      <c r="T252" s="83"/>
      <c r="U252" s="83"/>
    </row>
    <row r="253" spans="20:21" x14ac:dyDescent="0.25">
      <c r="T253" s="83"/>
      <c r="U253" s="83"/>
    </row>
    <row r="254" spans="20:21" x14ac:dyDescent="0.25">
      <c r="T254" s="83"/>
      <c r="U254" s="83"/>
    </row>
    <row r="255" spans="20:21" x14ac:dyDescent="0.25">
      <c r="T255" s="83"/>
      <c r="U255" s="83"/>
    </row>
    <row r="256" spans="20:21" x14ac:dyDescent="0.25">
      <c r="T256" s="83"/>
      <c r="U256" s="83"/>
    </row>
    <row r="257" spans="20:21" x14ac:dyDescent="0.25">
      <c r="T257" s="83"/>
      <c r="U257" s="83"/>
    </row>
    <row r="258" spans="20:21" x14ac:dyDescent="0.25">
      <c r="T258" s="83"/>
      <c r="U258" s="83"/>
    </row>
    <row r="259" spans="20:21" x14ac:dyDescent="0.25">
      <c r="T259" s="83"/>
      <c r="U259" s="83"/>
    </row>
    <row r="260" spans="20:21" x14ac:dyDescent="0.25">
      <c r="T260" s="83"/>
      <c r="U260" s="83"/>
    </row>
    <row r="261" spans="20:21" x14ac:dyDescent="0.25">
      <c r="T261" s="83"/>
      <c r="U261" s="83"/>
    </row>
    <row r="262" spans="20:21" x14ac:dyDescent="0.25">
      <c r="T262" s="83"/>
      <c r="U262" s="83"/>
    </row>
    <row r="263" spans="20:21" x14ac:dyDescent="0.25">
      <c r="T263" s="83"/>
      <c r="U263" s="83"/>
    </row>
    <row r="264" spans="20:21" x14ac:dyDescent="0.25">
      <c r="T264" s="83"/>
      <c r="U264" s="83"/>
    </row>
    <row r="265" spans="20:21" x14ac:dyDescent="0.25">
      <c r="T265" s="83"/>
      <c r="U265" s="83"/>
    </row>
    <row r="266" spans="20:21" x14ac:dyDescent="0.25">
      <c r="T266" s="83"/>
      <c r="U266" s="83"/>
    </row>
    <row r="267" spans="20:21" x14ac:dyDescent="0.25">
      <c r="T267" s="83"/>
      <c r="U267" s="83"/>
    </row>
    <row r="268" spans="20:21" x14ac:dyDescent="0.25">
      <c r="T268" s="83"/>
      <c r="U268" s="83"/>
    </row>
    <row r="269" spans="20:21" x14ac:dyDescent="0.25">
      <c r="T269" s="83"/>
      <c r="U269" s="83"/>
    </row>
    <row r="270" spans="20:21" x14ac:dyDescent="0.25">
      <c r="T270" s="83"/>
      <c r="U270" s="83"/>
    </row>
    <row r="271" spans="20:21" x14ac:dyDescent="0.25">
      <c r="T271" s="83"/>
      <c r="U271" s="83"/>
    </row>
    <row r="272" spans="20:21" x14ac:dyDescent="0.25">
      <c r="T272" s="83"/>
      <c r="U272" s="83"/>
    </row>
    <row r="273" spans="20:21" x14ac:dyDescent="0.25">
      <c r="T273" s="83"/>
      <c r="U273" s="83"/>
    </row>
    <row r="274" spans="20:21" x14ac:dyDescent="0.25">
      <c r="T274" s="83"/>
      <c r="U274" s="83"/>
    </row>
    <row r="275" spans="20:21" x14ac:dyDescent="0.25">
      <c r="T275" s="83"/>
      <c r="U275" s="83"/>
    </row>
    <row r="276" spans="20:21" x14ac:dyDescent="0.25">
      <c r="T276" s="83"/>
      <c r="U276" s="83"/>
    </row>
    <row r="277" spans="20:21" x14ac:dyDescent="0.25">
      <c r="T277" s="83"/>
      <c r="U277" s="83"/>
    </row>
    <row r="278" spans="20:21" x14ac:dyDescent="0.25">
      <c r="T278" s="83"/>
      <c r="U278" s="83"/>
    </row>
    <row r="279" spans="20:21" x14ac:dyDescent="0.25">
      <c r="T279" s="83"/>
      <c r="U279" s="83"/>
    </row>
    <row r="280" spans="20:21" x14ac:dyDescent="0.25">
      <c r="T280" s="83"/>
      <c r="U280" s="83"/>
    </row>
    <row r="281" spans="20:21" x14ac:dyDescent="0.25">
      <c r="T281" s="83"/>
      <c r="U281" s="83"/>
    </row>
    <row r="282" spans="20:21" x14ac:dyDescent="0.25">
      <c r="T282" s="83"/>
      <c r="U282" s="83"/>
    </row>
    <row r="283" spans="20:21" x14ac:dyDescent="0.25">
      <c r="T283" s="83"/>
      <c r="U283" s="83"/>
    </row>
    <row r="284" spans="20:21" x14ac:dyDescent="0.25">
      <c r="T284" s="83"/>
      <c r="U284" s="83"/>
    </row>
    <row r="285" spans="20:21" x14ac:dyDescent="0.25">
      <c r="T285" s="83"/>
      <c r="U285" s="83"/>
    </row>
    <row r="286" spans="20:21" x14ac:dyDescent="0.25">
      <c r="T286" s="83"/>
      <c r="U286" s="83"/>
    </row>
    <row r="287" spans="20:21" x14ac:dyDescent="0.25">
      <c r="T287" s="83"/>
      <c r="U287" s="83"/>
    </row>
    <row r="288" spans="20:21" x14ac:dyDescent="0.25">
      <c r="T288" s="83"/>
      <c r="U288" s="83"/>
    </row>
    <row r="289" spans="20:21" x14ac:dyDescent="0.25">
      <c r="T289" s="83"/>
      <c r="U289" s="83"/>
    </row>
    <row r="290" spans="20:21" x14ac:dyDescent="0.25">
      <c r="T290" s="83"/>
      <c r="U290" s="83"/>
    </row>
    <row r="291" spans="20:21" x14ac:dyDescent="0.25">
      <c r="T291" s="83"/>
      <c r="U291" s="83"/>
    </row>
    <row r="292" spans="20:21" x14ac:dyDescent="0.25">
      <c r="T292" s="83"/>
      <c r="U292" s="83"/>
    </row>
    <row r="293" spans="20:21" x14ac:dyDescent="0.25">
      <c r="T293" s="83"/>
      <c r="U293" s="83"/>
    </row>
    <row r="294" spans="20:21" x14ac:dyDescent="0.25">
      <c r="T294" s="83"/>
      <c r="U294" s="83"/>
    </row>
    <row r="295" spans="20:21" x14ac:dyDescent="0.25">
      <c r="T295" s="83"/>
      <c r="U295" s="83"/>
    </row>
    <row r="296" spans="20:21" x14ac:dyDescent="0.25">
      <c r="T296" s="83"/>
      <c r="U296" s="83"/>
    </row>
    <row r="297" spans="20:21" x14ac:dyDescent="0.25">
      <c r="T297" s="83"/>
      <c r="U297" s="83"/>
    </row>
    <row r="298" spans="20:21" x14ac:dyDescent="0.25">
      <c r="T298" s="83"/>
      <c r="U298" s="83"/>
    </row>
    <row r="299" spans="20:21" x14ac:dyDescent="0.25">
      <c r="T299" s="83"/>
      <c r="U299" s="83"/>
    </row>
    <row r="300" spans="20:21" x14ac:dyDescent="0.25">
      <c r="T300" s="83"/>
      <c r="U300" s="83"/>
    </row>
    <row r="301" spans="20:21" x14ac:dyDescent="0.25">
      <c r="T301" s="83"/>
      <c r="U301" s="83"/>
    </row>
    <row r="302" spans="20:21" x14ac:dyDescent="0.25">
      <c r="T302" s="83"/>
      <c r="U302" s="83"/>
    </row>
    <row r="303" spans="20:21" x14ac:dyDescent="0.25">
      <c r="T303" s="83"/>
      <c r="U303" s="83"/>
    </row>
    <row r="304" spans="20:21" x14ac:dyDescent="0.25">
      <c r="T304" s="83"/>
      <c r="U304" s="83"/>
    </row>
    <row r="305" spans="20:21" x14ac:dyDescent="0.25">
      <c r="T305" s="83"/>
      <c r="U305" s="83"/>
    </row>
    <row r="306" spans="20:21" x14ac:dyDescent="0.25">
      <c r="T306" s="83"/>
      <c r="U306" s="83"/>
    </row>
    <row r="307" spans="20:21" x14ac:dyDescent="0.25">
      <c r="T307" s="83"/>
      <c r="U307" s="83"/>
    </row>
    <row r="308" spans="20:21" x14ac:dyDescent="0.25">
      <c r="T308" s="83"/>
      <c r="U308" s="83"/>
    </row>
    <row r="309" spans="20:21" x14ac:dyDescent="0.25">
      <c r="T309" s="83"/>
      <c r="U309" s="83"/>
    </row>
    <row r="310" spans="20:21" x14ac:dyDescent="0.25">
      <c r="T310" s="83"/>
      <c r="U310" s="83"/>
    </row>
    <row r="311" spans="20:21" x14ac:dyDescent="0.25">
      <c r="T311" s="83"/>
      <c r="U311" s="83"/>
    </row>
    <row r="312" spans="20:21" x14ac:dyDescent="0.25">
      <c r="T312" s="83"/>
      <c r="U312" s="83"/>
    </row>
    <row r="313" spans="20:21" x14ac:dyDescent="0.25">
      <c r="T313" s="83"/>
      <c r="U313" s="83"/>
    </row>
    <row r="314" spans="20:21" x14ac:dyDescent="0.25">
      <c r="T314" s="83"/>
      <c r="U314" s="83"/>
    </row>
    <row r="315" spans="20:21" x14ac:dyDescent="0.25">
      <c r="T315" s="83"/>
      <c r="U315" s="83"/>
    </row>
    <row r="316" spans="20:21" x14ac:dyDescent="0.25">
      <c r="T316" s="83"/>
      <c r="U316" s="83"/>
    </row>
    <row r="317" spans="20:21" x14ac:dyDescent="0.25">
      <c r="T317" s="83"/>
      <c r="U317" s="83"/>
    </row>
    <row r="318" spans="20:21" x14ac:dyDescent="0.25">
      <c r="T318" s="83"/>
      <c r="U318" s="83"/>
    </row>
    <row r="319" spans="20:21" x14ac:dyDescent="0.25">
      <c r="T319" s="83"/>
      <c r="U319" s="83"/>
    </row>
    <row r="320" spans="20:21" x14ac:dyDescent="0.25">
      <c r="T320" s="83"/>
      <c r="U320" s="83"/>
    </row>
    <row r="321" spans="20:21" x14ac:dyDescent="0.25">
      <c r="T321" s="83"/>
      <c r="U321" s="83"/>
    </row>
    <row r="322" spans="20:21" x14ac:dyDescent="0.25">
      <c r="T322" s="83"/>
      <c r="U322" s="83"/>
    </row>
    <row r="323" spans="20:21" x14ac:dyDescent="0.25">
      <c r="T323" s="83"/>
      <c r="U323" s="83"/>
    </row>
    <row r="324" spans="20:21" x14ac:dyDescent="0.25">
      <c r="T324" s="83"/>
      <c r="U324" s="83"/>
    </row>
    <row r="325" spans="20:21" x14ac:dyDescent="0.25">
      <c r="T325" s="83"/>
      <c r="U325" s="83"/>
    </row>
    <row r="326" spans="20:21" x14ac:dyDescent="0.25">
      <c r="T326" s="83"/>
      <c r="U326" s="83"/>
    </row>
    <row r="327" spans="20:21" x14ac:dyDescent="0.25">
      <c r="T327" s="83"/>
      <c r="U327" s="83"/>
    </row>
    <row r="328" spans="20:21" x14ac:dyDescent="0.25">
      <c r="T328" s="83"/>
      <c r="U328" s="83"/>
    </row>
    <row r="329" spans="20:21" x14ac:dyDescent="0.25">
      <c r="T329" s="83"/>
      <c r="U329" s="83"/>
    </row>
    <row r="330" spans="20:21" x14ac:dyDescent="0.25">
      <c r="T330" s="83"/>
      <c r="U330" s="83"/>
    </row>
    <row r="331" spans="20:21" x14ac:dyDescent="0.25">
      <c r="T331" s="83"/>
      <c r="U331" s="83"/>
    </row>
    <row r="332" spans="20:21" x14ac:dyDescent="0.25">
      <c r="T332" s="83"/>
      <c r="U332" s="83"/>
    </row>
    <row r="333" spans="20:21" x14ac:dyDescent="0.25">
      <c r="T333" s="83"/>
      <c r="U333" s="83"/>
    </row>
    <row r="334" spans="20:21" x14ac:dyDescent="0.25">
      <c r="T334" s="83"/>
      <c r="U334" s="83"/>
    </row>
    <row r="335" spans="20:21" x14ac:dyDescent="0.25">
      <c r="T335" s="83"/>
      <c r="U335" s="83"/>
    </row>
    <row r="336" spans="20:21" x14ac:dyDescent="0.25">
      <c r="T336" s="83"/>
      <c r="U336" s="83"/>
    </row>
    <row r="337" spans="20:21" x14ac:dyDescent="0.25">
      <c r="T337" s="83"/>
      <c r="U337" s="83"/>
    </row>
    <row r="338" spans="20:21" x14ac:dyDescent="0.25">
      <c r="T338" s="83"/>
      <c r="U338" s="83"/>
    </row>
    <row r="339" spans="20:21" x14ac:dyDescent="0.25">
      <c r="T339" s="83"/>
      <c r="U339" s="83"/>
    </row>
    <row r="340" spans="20:21" x14ac:dyDescent="0.25">
      <c r="T340" s="83"/>
      <c r="U340" s="83"/>
    </row>
    <row r="341" spans="20:21" x14ac:dyDescent="0.25">
      <c r="T341" s="83"/>
      <c r="U341" s="83"/>
    </row>
    <row r="342" spans="20:21" x14ac:dyDescent="0.25">
      <c r="T342" s="83"/>
      <c r="U342" s="83"/>
    </row>
    <row r="343" spans="20:21" x14ac:dyDescent="0.25">
      <c r="T343" s="83"/>
      <c r="U343" s="83"/>
    </row>
    <row r="344" spans="20:21" x14ac:dyDescent="0.25">
      <c r="T344" s="83"/>
      <c r="U344" s="83"/>
    </row>
    <row r="345" spans="20:21" x14ac:dyDescent="0.25">
      <c r="T345" s="83"/>
      <c r="U345" s="83"/>
    </row>
    <row r="346" spans="20:21" x14ac:dyDescent="0.25">
      <c r="T346" s="83"/>
      <c r="U346" s="83"/>
    </row>
    <row r="347" spans="20:21" x14ac:dyDescent="0.25">
      <c r="T347" s="83"/>
      <c r="U347" s="83"/>
    </row>
    <row r="348" spans="20:21" x14ac:dyDescent="0.25">
      <c r="T348" s="83"/>
      <c r="U348" s="83"/>
    </row>
    <row r="349" spans="20:21" x14ac:dyDescent="0.25">
      <c r="T349" s="83"/>
      <c r="U349" s="83"/>
    </row>
    <row r="350" spans="20:21" x14ac:dyDescent="0.25">
      <c r="T350" s="83"/>
      <c r="U350" s="83"/>
    </row>
    <row r="351" spans="20:21" x14ac:dyDescent="0.25">
      <c r="T351" s="83"/>
      <c r="U351" s="83"/>
    </row>
    <row r="352" spans="20:21" x14ac:dyDescent="0.25">
      <c r="T352" s="83"/>
      <c r="U352" s="83"/>
    </row>
    <row r="353" spans="20:21" x14ac:dyDescent="0.25">
      <c r="T353" s="83"/>
      <c r="U353" s="83"/>
    </row>
    <row r="354" spans="20:21" x14ac:dyDescent="0.25">
      <c r="T354" s="83"/>
      <c r="U354" s="83"/>
    </row>
    <row r="355" spans="20:21" x14ac:dyDescent="0.25">
      <c r="T355" s="83"/>
      <c r="U355" s="83"/>
    </row>
    <row r="356" spans="20:21" x14ac:dyDescent="0.25">
      <c r="T356" s="83"/>
      <c r="U356" s="83"/>
    </row>
    <row r="357" spans="20:21" x14ac:dyDescent="0.25">
      <c r="T357" s="83"/>
      <c r="U357" s="83"/>
    </row>
    <row r="358" spans="20:21" x14ac:dyDescent="0.25">
      <c r="T358" s="83"/>
      <c r="U358" s="83"/>
    </row>
    <row r="359" spans="20:21" x14ac:dyDescent="0.25">
      <c r="T359" s="83"/>
      <c r="U359" s="83"/>
    </row>
    <row r="360" spans="20:21" x14ac:dyDescent="0.25">
      <c r="T360" s="83"/>
      <c r="U360" s="83"/>
    </row>
    <row r="361" spans="20:21" x14ac:dyDescent="0.25">
      <c r="T361" s="83"/>
      <c r="U361" s="83"/>
    </row>
    <row r="362" spans="20:21" x14ac:dyDescent="0.25">
      <c r="T362" s="83"/>
      <c r="U362" s="83"/>
    </row>
    <row r="363" spans="20:21" x14ac:dyDescent="0.25">
      <c r="T363" s="83"/>
      <c r="U363" s="83"/>
    </row>
    <row r="364" spans="20:21" x14ac:dyDescent="0.25">
      <c r="T364" s="83"/>
      <c r="U364" s="83"/>
    </row>
    <row r="365" spans="20:21" x14ac:dyDescent="0.25">
      <c r="T365" s="83"/>
      <c r="U365" s="83"/>
    </row>
    <row r="366" spans="20:21" x14ac:dyDescent="0.25">
      <c r="T366" s="83"/>
      <c r="U366" s="83"/>
    </row>
    <row r="367" spans="20:21" x14ac:dyDescent="0.25">
      <c r="T367" s="83"/>
      <c r="U367" s="83"/>
    </row>
    <row r="368" spans="20:21" x14ac:dyDescent="0.25">
      <c r="T368" s="83"/>
      <c r="U368" s="83"/>
    </row>
    <row r="369" spans="20:21" x14ac:dyDescent="0.25">
      <c r="T369" s="83"/>
      <c r="U369" s="83"/>
    </row>
    <row r="370" spans="20:21" x14ac:dyDescent="0.25">
      <c r="T370" s="83"/>
      <c r="U370" s="83"/>
    </row>
    <row r="371" spans="20:21" x14ac:dyDescent="0.25">
      <c r="T371" s="83"/>
      <c r="U371" s="83"/>
    </row>
    <row r="372" spans="20:21" x14ac:dyDescent="0.25">
      <c r="T372" s="83"/>
      <c r="U372" s="83"/>
    </row>
    <row r="373" spans="20:21" x14ac:dyDescent="0.25">
      <c r="T373" s="83"/>
      <c r="U373" s="83"/>
    </row>
    <row r="374" spans="20:21" x14ac:dyDescent="0.25">
      <c r="T374" s="83"/>
      <c r="U374" s="83"/>
    </row>
    <row r="375" spans="20:21" x14ac:dyDescent="0.25">
      <c r="T375" s="83"/>
      <c r="U375" s="83"/>
    </row>
    <row r="376" spans="20:21" x14ac:dyDescent="0.25">
      <c r="T376" s="83"/>
      <c r="U376" s="83"/>
    </row>
    <row r="377" spans="20:21" x14ac:dyDescent="0.25">
      <c r="T377" s="83"/>
      <c r="U377" s="83"/>
    </row>
    <row r="378" spans="20:21" x14ac:dyDescent="0.25">
      <c r="T378" s="83"/>
      <c r="U378" s="83"/>
    </row>
    <row r="379" spans="20:21" x14ac:dyDescent="0.25">
      <c r="T379" s="83"/>
      <c r="U379" s="83"/>
    </row>
    <row r="380" spans="20:21" x14ac:dyDescent="0.25">
      <c r="T380" s="83"/>
      <c r="U380" s="83"/>
    </row>
    <row r="381" spans="20:21" x14ac:dyDescent="0.25">
      <c r="T381" s="83"/>
      <c r="U381" s="83"/>
    </row>
    <row r="382" spans="20:21" x14ac:dyDescent="0.25">
      <c r="T382" s="83"/>
      <c r="U382" s="83"/>
    </row>
    <row r="383" spans="20:21" x14ac:dyDescent="0.25">
      <c r="T383" s="83"/>
      <c r="U383" s="83"/>
    </row>
    <row r="384" spans="20:21" x14ac:dyDescent="0.25">
      <c r="T384" s="83"/>
      <c r="U384" s="83"/>
    </row>
    <row r="385" spans="20:21" x14ac:dyDescent="0.25">
      <c r="T385" s="83"/>
      <c r="U385" s="83"/>
    </row>
    <row r="386" spans="20:21" x14ac:dyDescent="0.25">
      <c r="T386" s="83"/>
      <c r="U386" s="83"/>
    </row>
    <row r="387" spans="20:21" x14ac:dyDescent="0.25">
      <c r="T387" s="83"/>
      <c r="U387" s="83"/>
    </row>
    <row r="388" spans="20:21" x14ac:dyDescent="0.25">
      <c r="T388" s="83"/>
      <c r="U388" s="83"/>
    </row>
    <row r="389" spans="20:21" x14ac:dyDescent="0.25">
      <c r="T389" s="83"/>
      <c r="U389" s="83"/>
    </row>
    <row r="390" spans="20:21" x14ac:dyDescent="0.25">
      <c r="T390" s="83"/>
      <c r="U390" s="83"/>
    </row>
    <row r="391" spans="20:21" x14ac:dyDescent="0.25">
      <c r="T391" s="83"/>
      <c r="U391" s="83"/>
    </row>
    <row r="392" spans="20:21" x14ac:dyDescent="0.25">
      <c r="T392" s="83"/>
      <c r="U392" s="83"/>
    </row>
    <row r="393" spans="20:21" x14ac:dyDescent="0.25">
      <c r="T393" s="83"/>
      <c r="U393" s="83"/>
    </row>
    <row r="394" spans="20:21" x14ac:dyDescent="0.25">
      <c r="T394" s="83"/>
      <c r="U394" s="83"/>
    </row>
    <row r="395" spans="20:21" x14ac:dyDescent="0.25">
      <c r="T395" s="83"/>
      <c r="U395" s="83"/>
    </row>
    <row r="396" spans="20:21" x14ac:dyDescent="0.25">
      <c r="T396" s="83"/>
      <c r="U396" s="83"/>
    </row>
    <row r="397" spans="20:21" x14ac:dyDescent="0.25">
      <c r="T397" s="83"/>
      <c r="U397" s="83"/>
    </row>
    <row r="398" spans="20:21" x14ac:dyDescent="0.25">
      <c r="T398" s="83"/>
      <c r="U398" s="83"/>
    </row>
    <row r="399" spans="20:21" x14ac:dyDescent="0.25">
      <c r="T399" s="83"/>
      <c r="U399" s="83"/>
    </row>
    <row r="400" spans="20:21" x14ac:dyDescent="0.25">
      <c r="T400" s="83"/>
      <c r="U400" s="83"/>
    </row>
    <row r="401" spans="20:21" x14ac:dyDescent="0.25">
      <c r="T401" s="83"/>
      <c r="U401" s="83"/>
    </row>
    <row r="402" spans="20:21" x14ac:dyDescent="0.25">
      <c r="T402" s="83"/>
      <c r="U402" s="83"/>
    </row>
    <row r="403" spans="20:21" x14ac:dyDescent="0.25">
      <c r="T403" s="83"/>
      <c r="U403" s="83"/>
    </row>
    <row r="404" spans="20:21" x14ac:dyDescent="0.25">
      <c r="T404" s="83"/>
      <c r="U404" s="83"/>
    </row>
    <row r="405" spans="20:21" x14ac:dyDescent="0.25">
      <c r="T405" s="83"/>
      <c r="U405" s="83"/>
    </row>
    <row r="406" spans="20:21" x14ac:dyDescent="0.25">
      <c r="T406" s="83"/>
      <c r="U406" s="83"/>
    </row>
    <row r="407" spans="20:21" x14ac:dyDescent="0.25">
      <c r="T407" s="83"/>
      <c r="U407" s="83"/>
    </row>
    <row r="408" spans="20:21" x14ac:dyDescent="0.25">
      <c r="T408" s="83"/>
      <c r="U408" s="83"/>
    </row>
    <row r="409" spans="20:21" x14ac:dyDescent="0.25">
      <c r="T409" s="83"/>
      <c r="U409" s="83"/>
    </row>
    <row r="410" spans="20:21" x14ac:dyDescent="0.25">
      <c r="T410" s="83"/>
      <c r="U410" s="83"/>
    </row>
    <row r="411" spans="20:21" x14ac:dyDescent="0.25">
      <c r="T411" s="83"/>
      <c r="U411" s="83"/>
    </row>
    <row r="412" spans="20:21" x14ac:dyDescent="0.25">
      <c r="T412" s="83"/>
      <c r="U412" s="83"/>
    </row>
    <row r="413" spans="20:21" x14ac:dyDescent="0.25">
      <c r="T413" s="83"/>
      <c r="U413" s="83"/>
    </row>
    <row r="414" spans="20:21" x14ac:dyDescent="0.25">
      <c r="T414" s="83"/>
      <c r="U414" s="83"/>
    </row>
    <row r="415" spans="20:21" x14ac:dyDescent="0.25">
      <c r="T415" s="83"/>
      <c r="U415" s="83"/>
    </row>
    <row r="416" spans="20:21" x14ac:dyDescent="0.25">
      <c r="T416" s="83"/>
      <c r="U416" s="83"/>
    </row>
    <row r="417" spans="20:21" x14ac:dyDescent="0.25">
      <c r="T417" s="83"/>
      <c r="U417" s="83"/>
    </row>
    <row r="418" spans="20:21" x14ac:dyDescent="0.25">
      <c r="T418" s="83"/>
      <c r="U418" s="83"/>
    </row>
    <row r="419" spans="20:21" x14ac:dyDescent="0.25">
      <c r="T419" s="83"/>
      <c r="U419" s="83"/>
    </row>
    <row r="420" spans="20:21" x14ac:dyDescent="0.25">
      <c r="T420" s="83"/>
      <c r="U420" s="83"/>
    </row>
    <row r="421" spans="20:21" x14ac:dyDescent="0.25">
      <c r="T421" s="83"/>
      <c r="U421" s="83"/>
    </row>
    <row r="422" spans="20:21" x14ac:dyDescent="0.25">
      <c r="T422" s="83"/>
      <c r="U422" s="83"/>
    </row>
    <row r="423" spans="20:21" x14ac:dyDescent="0.25">
      <c r="T423" s="83"/>
      <c r="U423" s="83"/>
    </row>
    <row r="424" spans="20:21" x14ac:dyDescent="0.25">
      <c r="T424" s="83"/>
      <c r="U424" s="83"/>
    </row>
    <row r="425" spans="20:21" x14ac:dyDescent="0.25">
      <c r="T425" s="83"/>
      <c r="U425" s="83"/>
    </row>
    <row r="426" spans="20:21" x14ac:dyDescent="0.25">
      <c r="T426" s="83"/>
      <c r="U426" s="83"/>
    </row>
    <row r="427" spans="20:21" x14ac:dyDescent="0.25">
      <c r="T427" s="83"/>
      <c r="U427" s="83"/>
    </row>
    <row r="428" spans="20:21" x14ac:dyDescent="0.25">
      <c r="T428" s="83"/>
      <c r="U428" s="83"/>
    </row>
    <row r="429" spans="20:21" x14ac:dyDescent="0.25">
      <c r="T429" s="83"/>
      <c r="U429" s="83"/>
    </row>
    <row r="430" spans="20:21" x14ac:dyDescent="0.25">
      <c r="T430" s="83"/>
      <c r="U430" s="83"/>
    </row>
    <row r="431" spans="20:21" x14ac:dyDescent="0.25">
      <c r="T431" s="83"/>
      <c r="U431" s="83"/>
    </row>
    <row r="432" spans="20:21" x14ac:dyDescent="0.25">
      <c r="T432" s="83"/>
      <c r="U432" s="83"/>
    </row>
    <row r="433" spans="20:21" x14ac:dyDescent="0.25">
      <c r="T433" s="83"/>
      <c r="U433" s="83"/>
    </row>
    <row r="434" spans="20:21" x14ac:dyDescent="0.25">
      <c r="T434" s="83"/>
      <c r="U434" s="83"/>
    </row>
    <row r="435" spans="20:21" x14ac:dyDescent="0.25">
      <c r="T435" s="83"/>
      <c r="U435" s="83"/>
    </row>
    <row r="436" spans="20:21" x14ac:dyDescent="0.25">
      <c r="T436" s="83"/>
      <c r="U436" s="83"/>
    </row>
    <row r="437" spans="20:21" x14ac:dyDescent="0.25">
      <c r="T437" s="83"/>
      <c r="U437" s="83"/>
    </row>
    <row r="438" spans="20:21" x14ac:dyDescent="0.25">
      <c r="T438" s="83"/>
      <c r="U438" s="83"/>
    </row>
    <row r="439" spans="20:21" x14ac:dyDescent="0.25">
      <c r="T439" s="83"/>
      <c r="U439" s="83"/>
    </row>
    <row r="440" spans="20:21" x14ac:dyDescent="0.25">
      <c r="T440" s="83"/>
      <c r="U440" s="83"/>
    </row>
    <row r="441" spans="20:21" x14ac:dyDescent="0.25">
      <c r="T441" s="83"/>
      <c r="U441" s="83"/>
    </row>
    <row r="442" spans="20:21" x14ac:dyDescent="0.25">
      <c r="T442" s="83"/>
      <c r="U442" s="83"/>
    </row>
    <row r="443" spans="20:21" x14ac:dyDescent="0.25">
      <c r="T443" s="83"/>
      <c r="U443" s="83"/>
    </row>
    <row r="444" spans="20:21" x14ac:dyDescent="0.25">
      <c r="T444" s="83"/>
      <c r="U444" s="83"/>
    </row>
    <row r="445" spans="20:21" x14ac:dyDescent="0.25">
      <c r="T445" s="83"/>
      <c r="U445" s="83"/>
    </row>
    <row r="446" spans="20:21" x14ac:dyDescent="0.25">
      <c r="T446" s="83"/>
      <c r="U446" s="83"/>
    </row>
    <row r="447" spans="20:21" x14ac:dyDescent="0.25">
      <c r="T447" s="83"/>
      <c r="U447" s="83"/>
    </row>
    <row r="448" spans="20:21" x14ac:dyDescent="0.25">
      <c r="T448" s="83"/>
      <c r="U448" s="83"/>
    </row>
    <row r="449" spans="20:21" x14ac:dyDescent="0.25">
      <c r="T449" s="83"/>
      <c r="U449" s="83"/>
    </row>
    <row r="450" spans="20:21" x14ac:dyDescent="0.25">
      <c r="T450" s="83"/>
      <c r="U450" s="83"/>
    </row>
    <row r="451" spans="20:21" x14ac:dyDescent="0.25">
      <c r="T451" s="83"/>
      <c r="U451" s="83"/>
    </row>
    <row r="452" spans="20:21" x14ac:dyDescent="0.25">
      <c r="T452" s="83"/>
      <c r="U452" s="83"/>
    </row>
    <row r="453" spans="20:21" x14ac:dyDescent="0.25">
      <c r="T453" s="83"/>
      <c r="U453" s="83"/>
    </row>
    <row r="454" spans="20:21" x14ac:dyDescent="0.25">
      <c r="T454" s="83"/>
      <c r="U454" s="83"/>
    </row>
    <row r="455" spans="20:21" x14ac:dyDescent="0.25">
      <c r="T455" s="83"/>
      <c r="U455" s="83"/>
    </row>
    <row r="456" spans="20:21" x14ac:dyDescent="0.25">
      <c r="T456" s="83"/>
      <c r="U456" s="83"/>
    </row>
    <row r="457" spans="20:21" x14ac:dyDescent="0.25">
      <c r="T457" s="83"/>
      <c r="U457" s="83"/>
    </row>
    <row r="458" spans="20:21" x14ac:dyDescent="0.25">
      <c r="T458" s="83"/>
      <c r="U458" s="83"/>
    </row>
    <row r="459" spans="20:21" x14ac:dyDescent="0.25">
      <c r="T459" s="83"/>
      <c r="U459" s="83"/>
    </row>
    <row r="460" spans="20:21" x14ac:dyDescent="0.25">
      <c r="T460" s="83"/>
      <c r="U460" s="83"/>
    </row>
    <row r="461" spans="20:21" x14ac:dyDescent="0.25">
      <c r="T461" s="83"/>
      <c r="U461" s="83"/>
    </row>
    <row r="462" spans="20:21" x14ac:dyDescent="0.25">
      <c r="T462" s="83"/>
      <c r="U462" s="83"/>
    </row>
    <row r="463" spans="20:21" x14ac:dyDescent="0.25">
      <c r="T463" s="83"/>
      <c r="U463" s="83"/>
    </row>
    <row r="464" spans="20:21" x14ac:dyDescent="0.25">
      <c r="T464" s="83"/>
      <c r="U464" s="83"/>
    </row>
    <row r="465" spans="20:21" x14ac:dyDescent="0.25">
      <c r="T465" s="83"/>
      <c r="U465" s="83"/>
    </row>
    <row r="466" spans="20:21" x14ac:dyDescent="0.25">
      <c r="T466" s="83"/>
      <c r="U466" s="83"/>
    </row>
    <row r="467" spans="20:21" x14ac:dyDescent="0.25">
      <c r="T467" s="83"/>
      <c r="U467" s="83"/>
    </row>
    <row r="468" spans="20:21" x14ac:dyDescent="0.25">
      <c r="T468" s="83"/>
      <c r="U468" s="83"/>
    </row>
    <row r="469" spans="20:21" x14ac:dyDescent="0.25">
      <c r="T469" s="83"/>
      <c r="U469" s="83"/>
    </row>
    <row r="470" spans="20:21" x14ac:dyDescent="0.25">
      <c r="T470" s="83"/>
      <c r="U470" s="83"/>
    </row>
    <row r="471" spans="20:21" x14ac:dyDescent="0.25">
      <c r="T471" s="83"/>
      <c r="U471" s="83"/>
    </row>
    <row r="472" spans="20:21" x14ac:dyDescent="0.25">
      <c r="T472" s="83"/>
      <c r="U472" s="83"/>
    </row>
    <row r="473" spans="20:21" x14ac:dyDescent="0.25">
      <c r="T473" s="83"/>
      <c r="U473" s="83"/>
    </row>
    <row r="474" spans="20:21" x14ac:dyDescent="0.25">
      <c r="T474" s="83"/>
      <c r="U474" s="83"/>
    </row>
    <row r="475" spans="20:21" x14ac:dyDescent="0.25">
      <c r="T475" s="83"/>
      <c r="U475" s="83"/>
    </row>
    <row r="476" spans="20:21" x14ac:dyDescent="0.25">
      <c r="T476" s="83"/>
      <c r="U476" s="83"/>
    </row>
    <row r="477" spans="20:21" x14ac:dyDescent="0.25">
      <c r="T477" s="83"/>
      <c r="U477" s="83"/>
    </row>
    <row r="478" spans="20:21" x14ac:dyDescent="0.25">
      <c r="T478" s="83"/>
      <c r="U478" s="83"/>
    </row>
    <row r="479" spans="20:21" x14ac:dyDescent="0.25">
      <c r="T479" s="83"/>
      <c r="U479" s="83"/>
    </row>
    <row r="480" spans="20:21" x14ac:dyDescent="0.25">
      <c r="T480" s="83"/>
      <c r="U480" s="83"/>
    </row>
    <row r="481" spans="20:21" x14ac:dyDescent="0.25">
      <c r="T481" s="83"/>
      <c r="U481" s="83"/>
    </row>
    <row r="482" spans="20:21" x14ac:dyDescent="0.25">
      <c r="T482" s="83"/>
      <c r="U482" s="83"/>
    </row>
    <row r="483" spans="20:21" x14ac:dyDescent="0.25">
      <c r="T483" s="83"/>
      <c r="U483" s="83"/>
    </row>
    <row r="484" spans="20:21" x14ac:dyDescent="0.25">
      <c r="T484" s="83"/>
      <c r="U484" s="83"/>
    </row>
    <row r="485" spans="20:21" x14ac:dyDescent="0.25">
      <c r="T485" s="83"/>
      <c r="U485" s="83"/>
    </row>
    <row r="486" spans="20:21" x14ac:dyDescent="0.25">
      <c r="T486" s="83"/>
      <c r="U486" s="83"/>
    </row>
    <row r="487" spans="20:21" x14ac:dyDescent="0.25">
      <c r="T487" s="83"/>
      <c r="U487" s="83"/>
    </row>
    <row r="488" spans="20:21" x14ac:dyDescent="0.25">
      <c r="T488" s="83"/>
      <c r="U488" s="83"/>
    </row>
    <row r="489" spans="20:21" x14ac:dyDescent="0.25">
      <c r="T489" s="83"/>
      <c r="U489" s="83"/>
    </row>
    <row r="490" spans="20:21" x14ac:dyDescent="0.25">
      <c r="T490" s="83"/>
      <c r="U490" s="83"/>
    </row>
    <row r="491" spans="20:21" x14ac:dyDescent="0.25">
      <c r="T491" s="83"/>
      <c r="U491" s="83"/>
    </row>
    <row r="492" spans="20:21" x14ac:dyDescent="0.25">
      <c r="T492" s="83"/>
      <c r="U492" s="83"/>
    </row>
    <row r="493" spans="20:21" x14ac:dyDescent="0.25">
      <c r="T493" s="83"/>
      <c r="U493" s="83"/>
    </row>
    <row r="494" spans="20:21" x14ac:dyDescent="0.25">
      <c r="T494" s="83"/>
      <c r="U494" s="83"/>
    </row>
    <row r="495" spans="20:21" x14ac:dyDescent="0.25">
      <c r="T495" s="83"/>
      <c r="U495" s="83"/>
    </row>
    <row r="496" spans="20:21" x14ac:dyDescent="0.25">
      <c r="T496" s="83"/>
      <c r="U496" s="83"/>
    </row>
    <row r="497" spans="20:21" x14ac:dyDescent="0.25">
      <c r="T497" s="83"/>
      <c r="U497" s="83"/>
    </row>
    <row r="498" spans="20:21" x14ac:dyDescent="0.25">
      <c r="T498" s="83"/>
      <c r="U498" s="83"/>
    </row>
    <row r="499" spans="20:21" x14ac:dyDescent="0.25">
      <c r="T499" s="83"/>
      <c r="U499" s="83"/>
    </row>
    <row r="500" spans="20:21" x14ac:dyDescent="0.25">
      <c r="T500" s="83"/>
      <c r="U500" s="83"/>
    </row>
    <row r="501" spans="20:21" x14ac:dyDescent="0.25">
      <c r="T501" s="83"/>
      <c r="U501" s="83"/>
    </row>
    <row r="502" spans="20:21" x14ac:dyDescent="0.25">
      <c r="T502" s="83"/>
      <c r="U502" s="83"/>
    </row>
    <row r="503" spans="20:21" x14ac:dyDescent="0.25">
      <c r="T503" s="83"/>
      <c r="U503" s="83"/>
    </row>
    <row r="504" spans="20:21" x14ac:dyDescent="0.25">
      <c r="T504" s="83"/>
      <c r="U504" s="83"/>
    </row>
    <row r="505" spans="20:21" x14ac:dyDescent="0.25">
      <c r="T505" s="83"/>
      <c r="U505" s="83"/>
    </row>
    <row r="506" spans="20:21" x14ac:dyDescent="0.25">
      <c r="T506" s="83"/>
      <c r="U506" s="83"/>
    </row>
    <row r="507" spans="20:21" x14ac:dyDescent="0.25">
      <c r="T507" s="83"/>
      <c r="U507" s="83"/>
    </row>
    <row r="508" spans="20:21" x14ac:dyDescent="0.25">
      <c r="T508" s="83"/>
      <c r="U508" s="83"/>
    </row>
    <row r="509" spans="20:21" x14ac:dyDescent="0.25">
      <c r="T509" s="83"/>
      <c r="U509" s="83"/>
    </row>
    <row r="510" spans="20:21" x14ac:dyDescent="0.25">
      <c r="T510" s="83"/>
      <c r="U510" s="83"/>
    </row>
    <row r="511" spans="20:21" x14ac:dyDescent="0.25">
      <c r="T511" s="83"/>
      <c r="U511" s="83"/>
    </row>
    <row r="512" spans="20:21" x14ac:dyDescent="0.25">
      <c r="T512" s="83"/>
      <c r="U512" s="83"/>
    </row>
    <row r="513" spans="20:21" x14ac:dyDescent="0.25">
      <c r="T513" s="83"/>
      <c r="U513" s="83"/>
    </row>
    <row r="514" spans="20:21" x14ac:dyDescent="0.25">
      <c r="T514" s="83"/>
      <c r="U514" s="83"/>
    </row>
    <row r="515" spans="20:21" x14ac:dyDescent="0.25">
      <c r="T515" s="83"/>
      <c r="U515" s="83"/>
    </row>
    <row r="516" spans="20:21" x14ac:dyDescent="0.25">
      <c r="T516" s="83"/>
      <c r="U516" s="83"/>
    </row>
    <row r="517" spans="20:21" x14ac:dyDescent="0.25">
      <c r="T517" s="83"/>
      <c r="U517" s="83"/>
    </row>
    <row r="518" spans="20:21" x14ac:dyDescent="0.25">
      <c r="T518" s="83"/>
      <c r="U518" s="83"/>
    </row>
    <row r="519" spans="20:21" x14ac:dyDescent="0.25">
      <c r="T519" s="83"/>
      <c r="U519" s="83"/>
    </row>
    <row r="520" spans="20:21" x14ac:dyDescent="0.25">
      <c r="T520" s="83"/>
      <c r="U520" s="83"/>
    </row>
    <row r="521" spans="20:21" x14ac:dyDescent="0.25">
      <c r="T521" s="83"/>
      <c r="U521" s="83"/>
    </row>
    <row r="522" spans="20:21" x14ac:dyDescent="0.25">
      <c r="T522" s="83"/>
      <c r="U522" s="83"/>
    </row>
    <row r="523" spans="20:21" x14ac:dyDescent="0.25">
      <c r="T523" s="83"/>
      <c r="U523" s="83"/>
    </row>
    <row r="524" spans="20:21" x14ac:dyDescent="0.25">
      <c r="T524" s="83"/>
      <c r="U524" s="83"/>
    </row>
    <row r="525" spans="20:21" x14ac:dyDescent="0.25">
      <c r="T525" s="83"/>
      <c r="U525" s="83"/>
    </row>
    <row r="526" spans="20:21" x14ac:dyDescent="0.25">
      <c r="T526" s="83"/>
      <c r="U526" s="83"/>
    </row>
    <row r="527" spans="20:21" x14ac:dyDescent="0.25">
      <c r="T527" s="83"/>
      <c r="U527" s="83"/>
    </row>
    <row r="528" spans="20:21" x14ac:dyDescent="0.25">
      <c r="T528" s="83"/>
      <c r="U528" s="83"/>
    </row>
    <row r="529" spans="20:21" x14ac:dyDescent="0.25">
      <c r="T529" s="83"/>
      <c r="U529" s="83"/>
    </row>
    <row r="530" spans="20:21" x14ac:dyDescent="0.25">
      <c r="T530" s="83"/>
      <c r="U530" s="83"/>
    </row>
    <row r="531" spans="20:21" x14ac:dyDescent="0.25">
      <c r="T531" s="83"/>
      <c r="U531" s="83"/>
    </row>
    <row r="532" spans="20:21" x14ac:dyDescent="0.25">
      <c r="T532" s="83"/>
      <c r="U532" s="83"/>
    </row>
    <row r="533" spans="20:21" x14ac:dyDescent="0.25">
      <c r="T533" s="83"/>
      <c r="U533" s="83"/>
    </row>
    <row r="534" spans="20:21" x14ac:dyDescent="0.25">
      <c r="T534" s="83"/>
      <c r="U534" s="83"/>
    </row>
    <row r="535" spans="20:21" x14ac:dyDescent="0.25">
      <c r="T535" s="83"/>
      <c r="U535" s="83"/>
    </row>
    <row r="536" spans="20:21" x14ac:dyDescent="0.25">
      <c r="T536" s="83"/>
      <c r="U536" s="83"/>
    </row>
    <row r="537" spans="20:21" x14ac:dyDescent="0.25">
      <c r="T537" s="83"/>
      <c r="U537" s="83"/>
    </row>
    <row r="538" spans="20:21" x14ac:dyDescent="0.25">
      <c r="T538" s="83"/>
      <c r="U538" s="83"/>
    </row>
    <row r="539" spans="20:21" x14ac:dyDescent="0.25">
      <c r="T539" s="83"/>
      <c r="U539" s="83"/>
    </row>
    <row r="540" spans="20:21" x14ac:dyDescent="0.25">
      <c r="T540" s="83"/>
      <c r="U540" s="83"/>
    </row>
    <row r="541" spans="20:21" x14ac:dyDescent="0.25">
      <c r="T541" s="83"/>
      <c r="U541" s="83"/>
    </row>
    <row r="542" spans="20:21" x14ac:dyDescent="0.25">
      <c r="T542" s="83"/>
      <c r="U542" s="83"/>
    </row>
    <row r="543" spans="20:21" x14ac:dyDescent="0.25">
      <c r="T543" s="83"/>
      <c r="U543" s="83"/>
    </row>
    <row r="544" spans="20:21" x14ac:dyDescent="0.25">
      <c r="T544" s="83"/>
      <c r="U544" s="83"/>
    </row>
    <row r="545" spans="20:21" x14ac:dyDescent="0.25">
      <c r="T545" s="83"/>
      <c r="U545" s="83"/>
    </row>
    <row r="546" spans="20:21" x14ac:dyDescent="0.25">
      <c r="T546" s="83"/>
      <c r="U546" s="83"/>
    </row>
    <row r="547" spans="20:21" x14ac:dyDescent="0.25">
      <c r="T547" s="83"/>
      <c r="U547" s="83"/>
    </row>
    <row r="548" spans="20:21" x14ac:dyDescent="0.25">
      <c r="T548" s="83"/>
      <c r="U548" s="83"/>
    </row>
    <row r="549" spans="20:21" x14ac:dyDescent="0.25">
      <c r="T549" s="83"/>
      <c r="U549" s="83"/>
    </row>
    <row r="550" spans="20:21" x14ac:dyDescent="0.25">
      <c r="T550" s="83"/>
      <c r="U550" s="83"/>
    </row>
    <row r="551" spans="20:21" x14ac:dyDescent="0.25">
      <c r="T551" s="83"/>
      <c r="U551" s="83"/>
    </row>
    <row r="552" spans="20:21" x14ac:dyDescent="0.25">
      <c r="T552" s="83"/>
      <c r="U552" s="83"/>
    </row>
    <row r="553" spans="20:21" x14ac:dyDescent="0.25">
      <c r="T553" s="83"/>
      <c r="U553" s="83"/>
    </row>
    <row r="554" spans="20:21" x14ac:dyDescent="0.25">
      <c r="T554" s="83"/>
      <c r="U554" s="83"/>
    </row>
    <row r="555" spans="20:21" x14ac:dyDescent="0.25">
      <c r="T555" s="83"/>
      <c r="U555" s="83"/>
    </row>
    <row r="556" spans="20:21" x14ac:dyDescent="0.25">
      <c r="T556" s="83"/>
      <c r="U556" s="83"/>
    </row>
    <row r="557" spans="20:21" x14ac:dyDescent="0.25">
      <c r="T557" s="83"/>
      <c r="U557" s="83"/>
    </row>
    <row r="558" spans="20:21" x14ac:dyDescent="0.25">
      <c r="T558" s="83"/>
      <c r="U558" s="83"/>
    </row>
    <row r="559" spans="20:21" x14ac:dyDescent="0.25">
      <c r="T559" s="83"/>
      <c r="U559" s="83"/>
    </row>
    <row r="560" spans="20:21" x14ac:dyDescent="0.25">
      <c r="T560" s="83"/>
      <c r="U560" s="83"/>
    </row>
    <row r="561" spans="20:21" x14ac:dyDescent="0.25">
      <c r="T561" s="83"/>
      <c r="U561" s="83"/>
    </row>
    <row r="562" spans="20:21" x14ac:dyDescent="0.25">
      <c r="T562" s="83"/>
      <c r="U562" s="83"/>
    </row>
    <row r="563" spans="20:21" x14ac:dyDescent="0.25">
      <c r="T563" s="83"/>
      <c r="U563" s="83"/>
    </row>
    <row r="564" spans="20:21" x14ac:dyDescent="0.25">
      <c r="T564" s="83"/>
      <c r="U564" s="83"/>
    </row>
    <row r="565" spans="20:21" x14ac:dyDescent="0.25">
      <c r="T565" s="83"/>
      <c r="U565" s="83"/>
    </row>
    <row r="566" spans="20:21" x14ac:dyDescent="0.25">
      <c r="T566" s="83"/>
      <c r="U566" s="83"/>
    </row>
    <row r="567" spans="20:21" x14ac:dyDescent="0.25">
      <c r="T567" s="83"/>
      <c r="U567" s="83"/>
    </row>
    <row r="568" spans="20:21" x14ac:dyDescent="0.25">
      <c r="T568" s="83"/>
      <c r="U568" s="83"/>
    </row>
    <row r="569" spans="20:21" x14ac:dyDescent="0.25">
      <c r="T569" s="83"/>
      <c r="U569" s="83"/>
    </row>
    <row r="570" spans="20:21" x14ac:dyDescent="0.25">
      <c r="T570" s="83"/>
      <c r="U570" s="83"/>
    </row>
    <row r="571" spans="20:21" x14ac:dyDescent="0.25">
      <c r="T571" s="83"/>
      <c r="U571" s="83"/>
    </row>
    <row r="572" spans="20:21" x14ac:dyDescent="0.25">
      <c r="T572" s="83"/>
      <c r="U572" s="83"/>
    </row>
    <row r="573" spans="20:21" x14ac:dyDescent="0.25">
      <c r="T573" s="83"/>
      <c r="U573" s="83"/>
    </row>
    <row r="574" spans="20:21" x14ac:dyDescent="0.25">
      <c r="T574" s="83"/>
      <c r="U574" s="83"/>
    </row>
    <row r="575" spans="20:21" x14ac:dyDescent="0.25">
      <c r="T575" s="83"/>
      <c r="U575" s="83"/>
    </row>
    <row r="576" spans="20:21" x14ac:dyDescent="0.25">
      <c r="T576" s="83"/>
      <c r="U576" s="83"/>
    </row>
    <row r="577" spans="20:21" x14ac:dyDescent="0.25">
      <c r="T577" s="83"/>
      <c r="U577" s="83"/>
    </row>
    <row r="578" spans="20:21" x14ac:dyDescent="0.25">
      <c r="T578" s="83"/>
      <c r="U578" s="83"/>
    </row>
    <row r="579" spans="20:21" x14ac:dyDescent="0.25">
      <c r="T579" s="83"/>
      <c r="U579" s="83"/>
    </row>
    <row r="580" spans="20:21" x14ac:dyDescent="0.25">
      <c r="T580" s="83"/>
      <c r="U580" s="83"/>
    </row>
    <row r="581" spans="20:21" x14ac:dyDescent="0.25">
      <c r="T581" s="83"/>
      <c r="U581" s="83"/>
    </row>
    <row r="582" spans="20:21" x14ac:dyDescent="0.25">
      <c r="T582" s="83"/>
      <c r="U582" s="83"/>
    </row>
    <row r="583" spans="20:21" x14ac:dyDescent="0.25">
      <c r="T583" s="83"/>
      <c r="U583" s="83"/>
    </row>
    <row r="584" spans="20:21" x14ac:dyDescent="0.25">
      <c r="T584" s="83"/>
      <c r="U584" s="83"/>
    </row>
    <row r="585" spans="20:21" x14ac:dyDescent="0.25">
      <c r="T585" s="83"/>
      <c r="U585" s="83"/>
    </row>
    <row r="586" spans="20:21" x14ac:dyDescent="0.25">
      <c r="T586" s="83"/>
      <c r="U586" s="83"/>
    </row>
    <row r="587" spans="20:21" x14ac:dyDescent="0.25">
      <c r="T587" s="83"/>
      <c r="U587" s="83"/>
    </row>
    <row r="588" spans="20:21" x14ac:dyDescent="0.25">
      <c r="T588" s="83"/>
      <c r="U588" s="83"/>
    </row>
    <row r="589" spans="20:21" x14ac:dyDescent="0.25">
      <c r="T589" s="83"/>
      <c r="U589" s="83"/>
    </row>
    <row r="590" spans="20:21" x14ac:dyDescent="0.25">
      <c r="T590" s="83"/>
      <c r="U590" s="83"/>
    </row>
    <row r="591" spans="20:21" x14ac:dyDescent="0.25">
      <c r="T591" s="83"/>
      <c r="U591" s="83"/>
    </row>
    <row r="592" spans="20:21" x14ac:dyDescent="0.25">
      <c r="T592" s="83"/>
      <c r="U592" s="83"/>
    </row>
    <row r="593" spans="20:21" x14ac:dyDescent="0.25">
      <c r="T593" s="83"/>
      <c r="U593" s="83"/>
    </row>
    <row r="594" spans="20:21" x14ac:dyDescent="0.25">
      <c r="T594" s="83"/>
      <c r="U594" s="83"/>
    </row>
    <row r="595" spans="20:21" x14ac:dyDescent="0.25">
      <c r="T595" s="83"/>
      <c r="U595" s="83"/>
    </row>
    <row r="596" spans="20:21" x14ac:dyDescent="0.25">
      <c r="T596" s="83"/>
      <c r="U596" s="83"/>
    </row>
    <row r="597" spans="20:21" x14ac:dyDescent="0.25">
      <c r="T597" s="83"/>
      <c r="U597" s="83"/>
    </row>
    <row r="598" spans="20:21" x14ac:dyDescent="0.25">
      <c r="T598" s="83"/>
      <c r="U598" s="83"/>
    </row>
    <row r="599" spans="20:21" x14ac:dyDescent="0.25">
      <c r="T599" s="83"/>
      <c r="U599" s="83"/>
    </row>
    <row r="600" spans="20:21" x14ac:dyDescent="0.25">
      <c r="T600" s="83"/>
      <c r="U600" s="83"/>
    </row>
    <row r="601" spans="20:21" x14ac:dyDescent="0.25">
      <c r="T601" s="83"/>
      <c r="U601" s="83"/>
    </row>
    <row r="602" spans="20:21" x14ac:dyDescent="0.25">
      <c r="T602" s="83"/>
      <c r="U602" s="83"/>
    </row>
    <row r="603" spans="20:21" x14ac:dyDescent="0.25">
      <c r="T603" s="83"/>
      <c r="U603" s="83"/>
    </row>
    <row r="604" spans="20:21" x14ac:dyDescent="0.25">
      <c r="T604" s="83"/>
      <c r="U604" s="83"/>
    </row>
    <row r="605" spans="20:21" x14ac:dyDescent="0.25">
      <c r="T605" s="83"/>
      <c r="U605" s="83"/>
    </row>
    <row r="606" spans="20:21" x14ac:dyDescent="0.25">
      <c r="T606" s="83"/>
      <c r="U606" s="83"/>
    </row>
    <row r="607" spans="20:21" x14ac:dyDescent="0.25">
      <c r="T607" s="83"/>
      <c r="U607" s="83"/>
    </row>
    <row r="608" spans="20:21" x14ac:dyDescent="0.25">
      <c r="T608" s="83"/>
      <c r="U608" s="83"/>
    </row>
    <row r="609" spans="20:21" x14ac:dyDescent="0.25">
      <c r="T609" s="83"/>
      <c r="U609" s="83"/>
    </row>
    <row r="610" spans="20:21" x14ac:dyDescent="0.25">
      <c r="T610" s="83"/>
      <c r="U610" s="83"/>
    </row>
    <row r="611" spans="20:21" x14ac:dyDescent="0.25">
      <c r="T611" s="83"/>
      <c r="U611" s="83"/>
    </row>
    <row r="612" spans="20:21" x14ac:dyDescent="0.25">
      <c r="T612" s="83"/>
      <c r="U612" s="83"/>
    </row>
    <row r="613" spans="20:21" x14ac:dyDescent="0.25">
      <c r="T613" s="83"/>
      <c r="U613" s="83"/>
    </row>
    <row r="614" spans="20:21" x14ac:dyDescent="0.25">
      <c r="T614" s="83"/>
      <c r="U614" s="83"/>
    </row>
    <row r="615" spans="20:21" x14ac:dyDescent="0.25">
      <c r="T615" s="83"/>
      <c r="U615" s="83"/>
    </row>
    <row r="616" spans="20:21" x14ac:dyDescent="0.25">
      <c r="T616" s="83"/>
      <c r="U616" s="83"/>
    </row>
    <row r="617" spans="20:21" x14ac:dyDescent="0.25">
      <c r="T617" s="83"/>
      <c r="U617" s="83"/>
    </row>
    <row r="618" spans="20:21" x14ac:dyDescent="0.25">
      <c r="T618" s="83"/>
      <c r="U618" s="83"/>
    </row>
    <row r="619" spans="20:21" x14ac:dyDescent="0.25">
      <c r="T619" s="83"/>
      <c r="U619" s="83"/>
    </row>
    <row r="620" spans="20:21" x14ac:dyDescent="0.25">
      <c r="T620" s="83"/>
      <c r="U620" s="83"/>
    </row>
    <row r="621" spans="20:21" x14ac:dyDescent="0.25">
      <c r="T621" s="83"/>
      <c r="U621" s="83"/>
    </row>
    <row r="622" spans="20:21" x14ac:dyDescent="0.25">
      <c r="T622" s="83"/>
      <c r="U622" s="83"/>
    </row>
    <row r="623" spans="20:21" x14ac:dyDescent="0.25">
      <c r="T623" s="83"/>
      <c r="U623" s="83"/>
    </row>
    <row r="624" spans="20:21" x14ac:dyDescent="0.25">
      <c r="T624" s="83"/>
      <c r="U624" s="83"/>
    </row>
    <row r="625" spans="20:21" x14ac:dyDescent="0.25">
      <c r="T625" s="83"/>
      <c r="U625" s="83"/>
    </row>
    <row r="626" spans="20:21" x14ac:dyDescent="0.25">
      <c r="T626" s="83"/>
      <c r="U626" s="83"/>
    </row>
    <row r="627" spans="20:21" x14ac:dyDescent="0.25">
      <c r="T627" s="83"/>
      <c r="U627" s="83"/>
    </row>
    <row r="628" spans="20:21" x14ac:dyDescent="0.25">
      <c r="T628" s="83"/>
      <c r="U628" s="83"/>
    </row>
    <row r="629" spans="20:21" x14ac:dyDescent="0.25">
      <c r="T629" s="83"/>
      <c r="U629" s="83"/>
    </row>
    <row r="630" spans="20:21" x14ac:dyDescent="0.25">
      <c r="T630" s="83"/>
      <c r="U630" s="83"/>
    </row>
    <row r="631" spans="20:21" x14ac:dyDescent="0.25">
      <c r="T631" s="83"/>
      <c r="U631" s="83"/>
    </row>
    <row r="632" spans="20:21" x14ac:dyDescent="0.25">
      <c r="T632" s="83"/>
      <c r="U632" s="83"/>
    </row>
    <row r="633" spans="20:21" x14ac:dyDescent="0.25">
      <c r="T633" s="83"/>
      <c r="U633" s="83"/>
    </row>
    <row r="634" spans="20:21" x14ac:dyDescent="0.25">
      <c r="T634" s="83"/>
      <c r="U634" s="83"/>
    </row>
    <row r="635" spans="20:21" x14ac:dyDescent="0.25">
      <c r="T635" s="83"/>
      <c r="U635" s="83"/>
    </row>
    <row r="636" spans="20:21" x14ac:dyDescent="0.25">
      <c r="T636" s="83"/>
      <c r="U636" s="83"/>
    </row>
    <row r="637" spans="20:21" x14ac:dyDescent="0.25">
      <c r="T637" s="83"/>
      <c r="U637" s="83"/>
    </row>
    <row r="638" spans="20:21" x14ac:dyDescent="0.25">
      <c r="T638" s="83"/>
      <c r="U638" s="83"/>
    </row>
    <row r="639" spans="20:21" x14ac:dyDescent="0.25">
      <c r="T639" s="83"/>
      <c r="U639" s="83"/>
    </row>
    <row r="640" spans="20:21" x14ac:dyDescent="0.25">
      <c r="T640" s="83"/>
      <c r="U640" s="83"/>
    </row>
    <row r="641" spans="20:21" x14ac:dyDescent="0.25">
      <c r="T641" s="83"/>
      <c r="U641" s="83"/>
    </row>
    <row r="642" spans="20:21" x14ac:dyDescent="0.25">
      <c r="T642" s="83"/>
      <c r="U642" s="83"/>
    </row>
    <row r="643" spans="20:21" x14ac:dyDescent="0.25">
      <c r="T643" s="83"/>
      <c r="U643" s="83"/>
    </row>
    <row r="644" spans="20:21" x14ac:dyDescent="0.25">
      <c r="T644" s="83"/>
      <c r="U644" s="83"/>
    </row>
    <row r="645" spans="20:21" x14ac:dyDescent="0.25">
      <c r="T645" s="83"/>
      <c r="U645" s="83"/>
    </row>
    <row r="646" spans="20:21" x14ac:dyDescent="0.25">
      <c r="T646" s="83"/>
      <c r="U646" s="83"/>
    </row>
    <row r="647" spans="20:21" x14ac:dyDescent="0.25">
      <c r="T647" s="83"/>
      <c r="U647" s="83"/>
    </row>
    <row r="648" spans="20:21" x14ac:dyDescent="0.25">
      <c r="T648" s="83"/>
      <c r="U648" s="83"/>
    </row>
    <row r="649" spans="20:21" x14ac:dyDescent="0.25">
      <c r="T649" s="83"/>
      <c r="U649" s="83"/>
    </row>
    <row r="650" spans="20:21" x14ac:dyDescent="0.25">
      <c r="T650" s="83"/>
      <c r="U650" s="83"/>
    </row>
    <row r="651" spans="20:21" x14ac:dyDescent="0.25">
      <c r="T651" s="83"/>
      <c r="U651" s="83"/>
    </row>
    <row r="652" spans="20:21" x14ac:dyDescent="0.25">
      <c r="T652" s="83"/>
      <c r="U652" s="83"/>
    </row>
    <row r="653" spans="20:21" x14ac:dyDescent="0.25">
      <c r="T653" s="83"/>
      <c r="U653" s="83"/>
    </row>
    <row r="654" spans="20:21" x14ac:dyDescent="0.25">
      <c r="T654" s="83"/>
      <c r="U654" s="83"/>
    </row>
    <row r="655" spans="20:21" x14ac:dyDescent="0.25">
      <c r="T655" s="83"/>
      <c r="U655" s="83"/>
    </row>
    <row r="656" spans="20:21" x14ac:dyDescent="0.25">
      <c r="T656" s="83"/>
      <c r="U656" s="83"/>
    </row>
    <row r="657" spans="20:21" x14ac:dyDescent="0.25">
      <c r="T657" s="83"/>
      <c r="U657" s="83"/>
    </row>
    <row r="658" spans="20:21" x14ac:dyDescent="0.25">
      <c r="T658" s="83"/>
      <c r="U658" s="83"/>
    </row>
    <row r="659" spans="20:21" x14ac:dyDescent="0.25">
      <c r="T659" s="83"/>
      <c r="U659" s="83"/>
    </row>
    <row r="660" spans="20:21" x14ac:dyDescent="0.25">
      <c r="T660" s="83"/>
      <c r="U660" s="83"/>
    </row>
    <row r="661" spans="20:21" x14ac:dyDescent="0.25">
      <c r="T661" s="83"/>
      <c r="U661" s="83"/>
    </row>
    <row r="662" spans="20:21" x14ac:dyDescent="0.25">
      <c r="T662" s="83"/>
      <c r="U662" s="83"/>
    </row>
    <row r="663" spans="20:21" x14ac:dyDescent="0.25">
      <c r="T663" s="83"/>
      <c r="U663" s="83"/>
    </row>
    <row r="664" spans="20:21" x14ac:dyDescent="0.25">
      <c r="T664" s="83"/>
      <c r="U664" s="83"/>
    </row>
    <row r="665" spans="20:21" x14ac:dyDescent="0.25">
      <c r="T665" s="83"/>
      <c r="U665" s="83"/>
    </row>
    <row r="666" spans="20:21" x14ac:dyDescent="0.25">
      <c r="T666" s="83"/>
      <c r="U666" s="83"/>
    </row>
    <row r="667" spans="20:21" x14ac:dyDescent="0.25">
      <c r="T667" s="83"/>
      <c r="U667" s="83"/>
    </row>
    <row r="668" spans="20:21" x14ac:dyDescent="0.25">
      <c r="T668" s="83"/>
      <c r="U668" s="83"/>
    </row>
    <row r="669" spans="20:21" x14ac:dyDescent="0.25">
      <c r="T669" s="83"/>
      <c r="U669" s="83"/>
    </row>
    <row r="670" spans="20:21" x14ac:dyDescent="0.25">
      <c r="T670" s="83"/>
      <c r="U670" s="83"/>
    </row>
    <row r="671" spans="20:21" x14ac:dyDescent="0.25">
      <c r="T671" s="83"/>
      <c r="U671" s="83"/>
    </row>
    <row r="672" spans="20:21" x14ac:dyDescent="0.25">
      <c r="T672" s="83"/>
      <c r="U672" s="83"/>
    </row>
    <row r="673" spans="20:21" x14ac:dyDescent="0.25">
      <c r="T673" s="83"/>
      <c r="U673" s="83"/>
    </row>
    <row r="674" spans="20:21" x14ac:dyDescent="0.25">
      <c r="T674" s="83"/>
      <c r="U674" s="83"/>
    </row>
    <row r="675" spans="20:21" x14ac:dyDescent="0.25">
      <c r="T675" s="83"/>
      <c r="U675" s="83"/>
    </row>
    <row r="676" spans="20:21" x14ac:dyDescent="0.25">
      <c r="T676" s="83"/>
      <c r="U676" s="83"/>
    </row>
    <row r="677" spans="20:21" x14ac:dyDescent="0.25">
      <c r="T677" s="83"/>
      <c r="U677" s="83"/>
    </row>
    <row r="678" spans="20:21" x14ac:dyDescent="0.25">
      <c r="T678" s="83"/>
      <c r="U678" s="83"/>
    </row>
    <row r="679" spans="20:21" x14ac:dyDescent="0.25">
      <c r="T679" s="83"/>
      <c r="U679" s="83"/>
    </row>
    <row r="680" spans="20:21" x14ac:dyDescent="0.25">
      <c r="T680" s="83"/>
      <c r="U680" s="83"/>
    </row>
    <row r="681" spans="20:21" x14ac:dyDescent="0.25">
      <c r="T681" s="83"/>
      <c r="U681" s="83"/>
    </row>
    <row r="682" spans="20:21" x14ac:dyDescent="0.25">
      <c r="T682" s="83"/>
      <c r="U682" s="83"/>
    </row>
    <row r="683" spans="20:21" x14ac:dyDescent="0.25">
      <c r="T683" s="83"/>
      <c r="U683" s="83"/>
    </row>
    <row r="684" spans="20:21" x14ac:dyDescent="0.25">
      <c r="T684" s="83"/>
      <c r="U684" s="83"/>
    </row>
    <row r="685" spans="20:21" x14ac:dyDescent="0.25">
      <c r="T685" s="83"/>
      <c r="U685" s="83"/>
    </row>
    <row r="686" spans="20:21" x14ac:dyDescent="0.25">
      <c r="T686" s="83"/>
      <c r="U686" s="83"/>
    </row>
    <row r="687" spans="20:21" x14ac:dyDescent="0.25">
      <c r="T687" s="83"/>
      <c r="U687" s="83"/>
    </row>
    <row r="688" spans="20:21" x14ac:dyDescent="0.25">
      <c r="T688" s="83"/>
      <c r="U688" s="83"/>
    </row>
    <row r="689" spans="20:21" x14ac:dyDescent="0.25">
      <c r="T689" s="83"/>
      <c r="U689" s="83"/>
    </row>
    <row r="690" spans="20:21" x14ac:dyDescent="0.25">
      <c r="T690" s="83"/>
      <c r="U690" s="83"/>
    </row>
    <row r="691" spans="20:21" x14ac:dyDescent="0.25">
      <c r="T691" s="83"/>
      <c r="U691" s="83"/>
    </row>
    <row r="692" spans="20:21" x14ac:dyDescent="0.25">
      <c r="T692" s="83"/>
      <c r="U692" s="83"/>
    </row>
    <row r="693" spans="20:21" x14ac:dyDescent="0.25">
      <c r="T693" s="83"/>
      <c r="U693" s="83"/>
    </row>
    <row r="694" spans="20:21" x14ac:dyDescent="0.25">
      <c r="T694" s="83"/>
      <c r="U694" s="83"/>
    </row>
    <row r="695" spans="20:21" x14ac:dyDescent="0.25">
      <c r="T695" s="83"/>
      <c r="U695" s="83"/>
    </row>
    <row r="696" spans="20:21" x14ac:dyDescent="0.25">
      <c r="T696" s="83"/>
      <c r="U696" s="83"/>
    </row>
    <row r="697" spans="20:21" x14ac:dyDescent="0.25">
      <c r="T697" s="83"/>
      <c r="U697" s="83"/>
    </row>
    <row r="698" spans="20:21" x14ac:dyDescent="0.25">
      <c r="T698" s="83"/>
      <c r="U698" s="83"/>
    </row>
    <row r="699" spans="20:21" x14ac:dyDescent="0.25">
      <c r="T699" s="83"/>
      <c r="U699" s="83"/>
    </row>
    <row r="700" spans="20:21" x14ac:dyDescent="0.25">
      <c r="T700" s="83"/>
      <c r="U700" s="83"/>
    </row>
    <row r="701" spans="20:21" x14ac:dyDescent="0.25">
      <c r="T701" s="83"/>
      <c r="U701" s="83"/>
    </row>
    <row r="702" spans="20:21" x14ac:dyDescent="0.25">
      <c r="T702" s="83"/>
      <c r="U702" s="83"/>
    </row>
    <row r="703" spans="20:21" x14ac:dyDescent="0.25">
      <c r="T703" s="83"/>
      <c r="U703" s="83"/>
    </row>
    <row r="704" spans="20:21" x14ac:dyDescent="0.25">
      <c r="T704" s="83"/>
      <c r="U704" s="83"/>
    </row>
    <row r="705" spans="20:21" x14ac:dyDescent="0.25">
      <c r="T705" s="83"/>
      <c r="U705" s="83"/>
    </row>
    <row r="706" spans="20:21" x14ac:dyDescent="0.25">
      <c r="T706" s="83"/>
      <c r="U706" s="83"/>
    </row>
    <row r="707" spans="20:21" x14ac:dyDescent="0.25">
      <c r="T707" s="83"/>
      <c r="U707" s="83"/>
    </row>
    <row r="708" spans="20:21" x14ac:dyDescent="0.25">
      <c r="T708" s="83"/>
      <c r="U708" s="83"/>
    </row>
    <row r="709" spans="20:21" x14ac:dyDescent="0.25">
      <c r="T709" s="83"/>
      <c r="U709" s="83"/>
    </row>
    <row r="710" spans="20:21" x14ac:dyDescent="0.25">
      <c r="T710" s="83"/>
      <c r="U710" s="83"/>
    </row>
    <row r="711" spans="20:21" x14ac:dyDescent="0.25">
      <c r="T711" s="83"/>
      <c r="U711" s="83"/>
    </row>
    <row r="712" spans="20:21" x14ac:dyDescent="0.25">
      <c r="T712" s="83"/>
      <c r="U712" s="83"/>
    </row>
    <row r="713" spans="20:21" x14ac:dyDescent="0.25">
      <c r="T713" s="83"/>
      <c r="U713" s="83"/>
    </row>
    <row r="714" spans="20:21" x14ac:dyDescent="0.25">
      <c r="T714" s="83"/>
      <c r="U714" s="83"/>
    </row>
    <row r="715" spans="20:21" x14ac:dyDescent="0.25">
      <c r="T715" s="83"/>
      <c r="U715" s="83"/>
    </row>
    <row r="716" spans="20:21" x14ac:dyDescent="0.25">
      <c r="T716" s="83"/>
      <c r="U716" s="83"/>
    </row>
    <row r="717" spans="20:21" x14ac:dyDescent="0.25">
      <c r="T717" s="83"/>
      <c r="U717" s="83"/>
    </row>
    <row r="718" spans="20:21" x14ac:dyDescent="0.25">
      <c r="T718" s="83"/>
      <c r="U718" s="83"/>
    </row>
    <row r="719" spans="20:21" x14ac:dyDescent="0.25">
      <c r="T719" s="83"/>
      <c r="U719" s="83"/>
    </row>
    <row r="720" spans="20:21" x14ac:dyDescent="0.25">
      <c r="T720" s="83"/>
      <c r="U720" s="83"/>
    </row>
    <row r="721" spans="20:21" x14ac:dyDescent="0.25">
      <c r="T721" s="83"/>
      <c r="U721" s="83"/>
    </row>
    <row r="722" spans="20:21" x14ac:dyDescent="0.25">
      <c r="T722" s="83"/>
      <c r="U722" s="83"/>
    </row>
    <row r="723" spans="20:21" x14ac:dyDescent="0.25">
      <c r="T723" s="83"/>
      <c r="U723" s="83"/>
    </row>
    <row r="724" spans="20:21" x14ac:dyDescent="0.25">
      <c r="T724" s="83"/>
      <c r="U724" s="83"/>
    </row>
    <row r="725" spans="20:21" x14ac:dyDescent="0.25">
      <c r="T725" s="83"/>
      <c r="U725" s="83"/>
    </row>
    <row r="726" spans="20:21" x14ac:dyDescent="0.25">
      <c r="T726" s="83"/>
      <c r="U726" s="83"/>
    </row>
    <row r="727" spans="20:21" x14ac:dyDescent="0.25">
      <c r="T727" s="83"/>
      <c r="U727" s="83"/>
    </row>
    <row r="728" spans="20:21" x14ac:dyDescent="0.25">
      <c r="T728" s="83"/>
      <c r="U728" s="83"/>
    </row>
    <row r="729" spans="20:21" x14ac:dyDescent="0.25">
      <c r="T729" s="83"/>
      <c r="U729" s="83"/>
    </row>
    <row r="730" spans="20:21" x14ac:dyDescent="0.25">
      <c r="T730" s="83"/>
      <c r="U730" s="83"/>
    </row>
    <row r="731" spans="20:21" x14ac:dyDescent="0.25">
      <c r="T731" s="83"/>
      <c r="U731" s="83"/>
    </row>
    <row r="732" spans="20:21" x14ac:dyDescent="0.25">
      <c r="T732" s="83"/>
      <c r="U732" s="83"/>
    </row>
    <row r="733" spans="20:21" x14ac:dyDescent="0.25">
      <c r="T733" s="83"/>
      <c r="U733" s="83"/>
    </row>
    <row r="734" spans="20:21" x14ac:dyDescent="0.25">
      <c r="T734" s="83"/>
      <c r="U734" s="83"/>
    </row>
    <row r="735" spans="20:21" x14ac:dyDescent="0.25">
      <c r="T735" s="83"/>
      <c r="U735" s="83"/>
    </row>
    <row r="736" spans="20:21" x14ac:dyDescent="0.25">
      <c r="T736" s="83"/>
      <c r="U736" s="83"/>
    </row>
    <row r="737" spans="20:21" x14ac:dyDescent="0.25">
      <c r="T737" s="83"/>
      <c r="U737" s="83"/>
    </row>
    <row r="738" spans="20:21" x14ac:dyDescent="0.25">
      <c r="T738" s="83"/>
      <c r="U738" s="83"/>
    </row>
    <row r="739" spans="20:21" x14ac:dyDescent="0.25">
      <c r="T739" s="83"/>
      <c r="U739" s="83"/>
    </row>
    <row r="740" spans="20:21" x14ac:dyDescent="0.25">
      <c r="T740" s="83"/>
      <c r="U740" s="83"/>
    </row>
    <row r="741" spans="20:21" x14ac:dyDescent="0.25">
      <c r="T741" s="83"/>
      <c r="U741" s="83"/>
    </row>
    <row r="742" spans="20:21" x14ac:dyDescent="0.25">
      <c r="T742" s="83"/>
      <c r="U742" s="83"/>
    </row>
    <row r="743" spans="20:21" x14ac:dyDescent="0.25">
      <c r="T743" s="83"/>
      <c r="U743" s="83"/>
    </row>
    <row r="744" spans="20:21" x14ac:dyDescent="0.25">
      <c r="T744" s="83"/>
      <c r="U744" s="83"/>
    </row>
    <row r="745" spans="20:21" x14ac:dyDescent="0.25">
      <c r="T745" s="83"/>
      <c r="U745" s="83"/>
    </row>
    <row r="746" spans="20:21" x14ac:dyDescent="0.25">
      <c r="T746" s="83"/>
      <c r="U746" s="83"/>
    </row>
    <row r="747" spans="20:21" x14ac:dyDescent="0.25">
      <c r="T747" s="83"/>
      <c r="U747" s="83"/>
    </row>
    <row r="748" spans="20:21" x14ac:dyDescent="0.25">
      <c r="T748" s="83"/>
      <c r="U748" s="83"/>
    </row>
    <row r="749" spans="20:21" x14ac:dyDescent="0.25">
      <c r="T749" s="83"/>
      <c r="U749" s="83"/>
    </row>
    <row r="750" spans="20:21" x14ac:dyDescent="0.25">
      <c r="T750" s="83"/>
      <c r="U750" s="83"/>
    </row>
    <row r="751" spans="20:21" x14ac:dyDescent="0.25">
      <c r="T751" s="83"/>
      <c r="U751" s="83"/>
    </row>
    <row r="752" spans="20:21" x14ac:dyDescent="0.25">
      <c r="T752" s="83"/>
      <c r="U752" s="83"/>
    </row>
    <row r="753" spans="20:21" x14ac:dyDescent="0.25">
      <c r="T753" s="83"/>
      <c r="U753" s="83"/>
    </row>
    <row r="754" spans="20:21" x14ac:dyDescent="0.25">
      <c r="T754" s="83"/>
      <c r="U754" s="83"/>
    </row>
    <row r="755" spans="20:21" x14ac:dyDescent="0.25">
      <c r="T755" s="83"/>
      <c r="U755" s="83"/>
    </row>
    <row r="756" spans="20:21" x14ac:dyDescent="0.25">
      <c r="T756" s="83"/>
      <c r="U756" s="83"/>
    </row>
    <row r="757" spans="20:21" x14ac:dyDescent="0.25">
      <c r="T757" s="83"/>
      <c r="U757" s="83"/>
    </row>
    <row r="758" spans="20:21" x14ac:dyDescent="0.25">
      <c r="T758" s="83"/>
      <c r="U758" s="83"/>
    </row>
    <row r="759" spans="20:21" x14ac:dyDescent="0.25">
      <c r="T759" s="83"/>
      <c r="U759" s="83"/>
    </row>
    <row r="760" spans="20:21" x14ac:dyDescent="0.25">
      <c r="T760" s="83"/>
      <c r="U760" s="83"/>
    </row>
    <row r="761" spans="20:21" x14ac:dyDescent="0.25">
      <c r="T761" s="83"/>
      <c r="U761" s="83"/>
    </row>
    <row r="762" spans="20:21" x14ac:dyDescent="0.25">
      <c r="T762" s="83"/>
      <c r="U762" s="83"/>
    </row>
    <row r="763" spans="20:21" x14ac:dyDescent="0.25">
      <c r="T763" s="83"/>
      <c r="U763" s="83"/>
    </row>
    <row r="764" spans="20:21" x14ac:dyDescent="0.25">
      <c r="T764" s="83"/>
      <c r="U764" s="83"/>
    </row>
    <row r="765" spans="20:21" x14ac:dyDescent="0.25">
      <c r="T765" s="83"/>
      <c r="U765" s="83"/>
    </row>
    <row r="766" spans="20:21" x14ac:dyDescent="0.25">
      <c r="T766" s="83"/>
      <c r="U766" s="83"/>
    </row>
    <row r="767" spans="20:21" x14ac:dyDescent="0.25">
      <c r="T767" s="83"/>
      <c r="U767" s="83"/>
    </row>
    <row r="768" spans="20:21" x14ac:dyDescent="0.25">
      <c r="T768" s="83"/>
      <c r="U768" s="83"/>
    </row>
    <row r="769" spans="20:21" x14ac:dyDescent="0.25">
      <c r="T769" s="83"/>
      <c r="U769" s="83"/>
    </row>
    <row r="770" spans="20:21" x14ac:dyDescent="0.25">
      <c r="T770" s="83"/>
      <c r="U770" s="83"/>
    </row>
    <row r="771" spans="20:21" x14ac:dyDescent="0.25">
      <c r="T771" s="83"/>
      <c r="U771" s="83"/>
    </row>
    <row r="772" spans="20:21" x14ac:dyDescent="0.25">
      <c r="T772" s="83"/>
      <c r="U772" s="83"/>
    </row>
    <row r="773" spans="20:21" x14ac:dyDescent="0.25">
      <c r="T773" s="83"/>
      <c r="U773" s="83"/>
    </row>
    <row r="774" spans="20:21" x14ac:dyDescent="0.25">
      <c r="T774" s="83"/>
      <c r="U774" s="83"/>
    </row>
    <row r="775" spans="20:21" x14ac:dyDescent="0.25">
      <c r="T775" s="83"/>
      <c r="U775" s="83"/>
    </row>
    <row r="776" spans="20:21" x14ac:dyDescent="0.25">
      <c r="T776" s="83"/>
      <c r="U776" s="83"/>
    </row>
    <row r="777" spans="20:21" x14ac:dyDescent="0.25">
      <c r="T777" s="83"/>
      <c r="U777" s="83"/>
    </row>
    <row r="778" spans="20:21" x14ac:dyDescent="0.25">
      <c r="T778" s="83"/>
      <c r="U778" s="83"/>
    </row>
    <row r="779" spans="20:21" x14ac:dyDescent="0.25">
      <c r="T779" s="83"/>
      <c r="U779" s="83"/>
    </row>
    <row r="780" spans="20:21" x14ac:dyDescent="0.25">
      <c r="T780" s="83"/>
      <c r="U780" s="83"/>
    </row>
    <row r="781" spans="20:21" x14ac:dyDescent="0.25">
      <c r="T781" s="83"/>
      <c r="U781" s="83"/>
    </row>
    <row r="782" spans="20:21" x14ac:dyDescent="0.25">
      <c r="T782" s="83"/>
      <c r="U782" s="83"/>
    </row>
    <row r="783" spans="20:21" x14ac:dyDescent="0.25">
      <c r="T783" s="83"/>
      <c r="U783" s="83"/>
    </row>
    <row r="784" spans="20:21" x14ac:dyDescent="0.25">
      <c r="T784" s="83"/>
      <c r="U784" s="83"/>
    </row>
    <row r="785" spans="20:21" x14ac:dyDescent="0.25">
      <c r="T785" s="83"/>
      <c r="U785" s="83"/>
    </row>
    <row r="786" spans="20:21" x14ac:dyDescent="0.25">
      <c r="T786" s="83"/>
      <c r="U786" s="83"/>
    </row>
    <row r="787" spans="20:21" x14ac:dyDescent="0.25">
      <c r="T787" s="83"/>
      <c r="U787" s="83"/>
    </row>
    <row r="788" spans="20:21" x14ac:dyDescent="0.25">
      <c r="T788" s="83"/>
      <c r="U788" s="83"/>
    </row>
    <row r="789" spans="20:21" x14ac:dyDescent="0.25">
      <c r="T789" s="83"/>
      <c r="U789" s="83"/>
    </row>
    <row r="790" spans="20:21" x14ac:dyDescent="0.25">
      <c r="T790" s="83"/>
      <c r="U790" s="83"/>
    </row>
    <row r="791" spans="20:21" x14ac:dyDescent="0.25">
      <c r="T791" s="83"/>
      <c r="U791" s="83"/>
    </row>
    <row r="792" spans="20:21" x14ac:dyDescent="0.25">
      <c r="T792" s="83"/>
      <c r="U792" s="83"/>
    </row>
    <row r="793" spans="20:21" x14ac:dyDescent="0.25">
      <c r="T793" s="83"/>
      <c r="U793" s="83"/>
    </row>
    <row r="794" spans="20:21" x14ac:dyDescent="0.25">
      <c r="T794" s="83"/>
      <c r="U794" s="83"/>
    </row>
    <row r="795" spans="20:21" x14ac:dyDescent="0.25">
      <c r="T795" s="83"/>
      <c r="U795" s="83"/>
    </row>
    <row r="796" spans="20:21" x14ac:dyDescent="0.25">
      <c r="T796" s="83"/>
      <c r="U796" s="83"/>
    </row>
    <row r="797" spans="20:21" x14ac:dyDescent="0.25">
      <c r="T797" s="83"/>
      <c r="U797" s="83"/>
    </row>
    <row r="798" spans="20:21" x14ac:dyDescent="0.25">
      <c r="T798" s="83"/>
      <c r="U798" s="83"/>
    </row>
    <row r="799" spans="20:21" x14ac:dyDescent="0.25">
      <c r="T799" s="83"/>
      <c r="U799" s="83"/>
    </row>
    <row r="800" spans="20:21" x14ac:dyDescent="0.25">
      <c r="T800" s="83"/>
      <c r="U800" s="83"/>
    </row>
    <row r="801" spans="20:21" x14ac:dyDescent="0.25">
      <c r="T801" s="83"/>
      <c r="U801" s="83"/>
    </row>
    <row r="802" spans="20:21" x14ac:dyDescent="0.25">
      <c r="T802" s="83"/>
      <c r="U802" s="83"/>
    </row>
    <row r="803" spans="20:21" x14ac:dyDescent="0.25">
      <c r="T803" s="83"/>
      <c r="U803" s="83"/>
    </row>
    <row r="804" spans="20:21" x14ac:dyDescent="0.25">
      <c r="T804" s="83"/>
      <c r="U804" s="83"/>
    </row>
    <row r="805" spans="20:21" x14ac:dyDescent="0.25">
      <c r="T805" s="83"/>
      <c r="U805" s="83"/>
    </row>
    <row r="806" spans="20:21" x14ac:dyDescent="0.25">
      <c r="T806" s="83"/>
      <c r="U806" s="83"/>
    </row>
    <row r="807" spans="20:21" x14ac:dyDescent="0.25">
      <c r="T807" s="83"/>
      <c r="U807" s="83"/>
    </row>
    <row r="808" spans="20:21" x14ac:dyDescent="0.25">
      <c r="T808" s="83"/>
      <c r="U808" s="83"/>
    </row>
    <row r="809" spans="20:21" x14ac:dyDescent="0.25">
      <c r="T809" s="83"/>
      <c r="U809" s="83"/>
    </row>
    <row r="810" spans="20:21" x14ac:dyDescent="0.25">
      <c r="T810" s="83"/>
      <c r="U810" s="83"/>
    </row>
    <row r="811" spans="20:21" x14ac:dyDescent="0.25">
      <c r="T811" s="83"/>
      <c r="U811" s="83"/>
    </row>
    <row r="812" spans="20:21" x14ac:dyDescent="0.25">
      <c r="T812" s="83"/>
      <c r="U812" s="83"/>
    </row>
    <row r="813" spans="20:21" x14ac:dyDescent="0.25">
      <c r="T813" s="83"/>
      <c r="U813" s="83"/>
    </row>
    <row r="814" spans="20:21" x14ac:dyDescent="0.25">
      <c r="T814" s="83"/>
      <c r="U814" s="83"/>
    </row>
    <row r="815" spans="20:21" x14ac:dyDescent="0.25">
      <c r="T815" s="83"/>
      <c r="U815" s="83"/>
    </row>
    <row r="816" spans="20:21" x14ac:dyDescent="0.25">
      <c r="T816" s="83"/>
      <c r="U816" s="83"/>
    </row>
    <row r="817" spans="20:21" x14ac:dyDescent="0.25">
      <c r="T817" s="83"/>
      <c r="U817" s="83"/>
    </row>
    <row r="818" spans="20:21" x14ac:dyDescent="0.25">
      <c r="T818" s="83"/>
      <c r="U818" s="83"/>
    </row>
    <row r="819" spans="20:21" x14ac:dyDescent="0.25">
      <c r="T819" s="83"/>
      <c r="U819" s="83"/>
    </row>
  </sheetData>
  <mergeCells count="8">
    <mergeCell ref="A87:A90"/>
    <mergeCell ref="A91:A94"/>
    <mergeCell ref="D63:F63"/>
    <mergeCell ref="H1:L1"/>
    <mergeCell ref="D25:F25"/>
    <mergeCell ref="D27:F27"/>
    <mergeCell ref="D26:F26"/>
    <mergeCell ref="D28:F28"/>
  </mergeCells>
  <pageMargins left="0.70866141732283472" right="0.70866141732283472" top="0.74803149606299213" bottom="0.74803149606299213" header="0.31496062992125984" footer="0.31496062992125984"/>
  <pageSetup paperSize="9" scale="27" fitToHeight="6" orientation="portrait" horizontalDpi="4294967294" verticalDpi="4294967294" r:id="rId1"/>
  <headerFooter>
    <oddHeader>&amp;R&amp;Z&amp;F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52BF-E1C6-454A-8F38-F7F241967478}">
  <sheetPr>
    <pageSetUpPr fitToPage="1"/>
  </sheetPr>
  <dimension ref="A1:M241"/>
  <sheetViews>
    <sheetView topLeftCell="C41" zoomScale="115" zoomScaleNormal="115" workbookViewId="0">
      <pane activePane="bottomRight" state="frozen"/>
      <selection activeCell="C65" sqref="C65:J83"/>
    </sheetView>
  </sheetViews>
  <sheetFormatPr baseColWidth="10" defaultRowHeight="11.25" outlineLevelRow="1" outlineLevelCol="1" x14ac:dyDescent="0.25"/>
  <cols>
    <col min="1" max="1" width="8" style="12" customWidth="1"/>
    <col min="2" max="2" width="98" style="101" customWidth="1"/>
    <col min="3" max="3" width="28.5703125" style="101" customWidth="1" outlineLevel="1"/>
    <col min="4" max="4" width="20.28515625" style="101" customWidth="1" outlineLevel="1"/>
    <col min="5" max="5" width="11" style="114" customWidth="1" outlineLevel="1"/>
    <col min="6" max="6" width="22" style="101" customWidth="1" outlineLevel="1"/>
    <col min="7" max="7" width="45.85546875" style="101" customWidth="1" outlineLevel="1"/>
    <col min="8" max="8" width="10.5703125" style="12" customWidth="1" outlineLevel="1"/>
    <col min="9" max="9" width="22.28515625" style="13" customWidth="1"/>
    <col min="10" max="10" width="18" style="101" customWidth="1"/>
    <col min="11" max="16384" width="11.42578125" style="101"/>
  </cols>
  <sheetData>
    <row r="1" spans="1:13" s="87" customFormat="1" x14ac:dyDescent="0.25">
      <c r="A1" s="10" t="s">
        <v>52</v>
      </c>
      <c r="B1" s="84" t="s">
        <v>16</v>
      </c>
      <c r="C1" s="110" t="s">
        <v>0</v>
      </c>
      <c r="D1" s="84" t="s">
        <v>7</v>
      </c>
      <c r="E1" s="89" t="s">
        <v>6</v>
      </c>
      <c r="F1" s="84" t="s">
        <v>142</v>
      </c>
      <c r="G1" s="84" t="s">
        <v>42</v>
      </c>
      <c r="H1" s="10"/>
      <c r="I1" s="10" t="s">
        <v>9</v>
      </c>
      <c r="J1" s="84" t="s">
        <v>8</v>
      </c>
      <c r="K1" s="101"/>
      <c r="L1" s="101"/>
      <c r="M1" s="101"/>
    </row>
    <row r="2" spans="1:13" s="87" customFormat="1" ht="14.25" x14ac:dyDescent="0.25">
      <c r="A2" s="10"/>
      <c r="B2" s="84"/>
      <c r="C2" s="169"/>
      <c r="D2" s="84"/>
      <c r="E2" s="85"/>
      <c r="F2" s="84"/>
      <c r="G2" s="86"/>
      <c r="H2" s="10"/>
      <c r="I2" s="11"/>
      <c r="J2" s="84"/>
      <c r="K2" s="101"/>
      <c r="L2" s="101"/>
      <c r="M2" s="101"/>
    </row>
    <row r="3" spans="1:13" s="88" customFormat="1" ht="14.25" x14ac:dyDescent="0.25">
      <c r="A3" s="166" t="s">
        <v>11</v>
      </c>
      <c r="B3" s="84" t="s">
        <v>52</v>
      </c>
      <c r="C3" s="110"/>
      <c r="D3" s="84"/>
      <c r="E3" s="89"/>
      <c r="F3" s="84"/>
      <c r="G3" s="84"/>
      <c r="H3" s="10"/>
      <c r="I3" s="11"/>
      <c r="J3" s="98"/>
      <c r="K3" s="105"/>
      <c r="L3" s="105"/>
      <c r="M3" s="105"/>
    </row>
    <row r="4" spans="1:13" s="162" customFormat="1" ht="14.25" outlineLevel="1" x14ac:dyDescent="0.25">
      <c r="A4" s="38">
        <v>1012</v>
      </c>
      <c r="B4" s="149" t="str">
        <f>CONCATENATE(C4,"   ",D4,"   ",E4,"   ",F4,"   ",G4)</f>
        <v>Velin Etiwell 68 g   Permanent   2028Y/19   Sans silicone   Glassine 58 g chinois LK</v>
      </c>
      <c r="C4" s="170" t="s">
        <v>97</v>
      </c>
      <c r="D4" s="149" t="s">
        <v>5</v>
      </c>
      <c r="E4" s="165" t="s">
        <v>116</v>
      </c>
      <c r="F4" s="150" t="s">
        <v>26</v>
      </c>
      <c r="G4" s="94" t="s">
        <v>107</v>
      </c>
      <c r="H4" s="38" t="s">
        <v>108</v>
      </c>
      <c r="I4" s="159" cm="1">
        <f t="array" ref="I4">IF(B4="","",SUM(_xlfn._xlws.FILTER(Parametres!H$1:H$257, (Parametres!C$1:C$257=E4) + (Parametres!C$1:C$257=G4) + (Parametres!C$1:C$257=F4) + (Parametres!C$1:C$257=C4))))</f>
        <v>0.26008638461538464</v>
      </c>
      <c r="J4" s="160">
        <f t="shared" ref="J4:J5" si="0">I4+0.06</f>
        <v>0.32008638461538463</v>
      </c>
      <c r="K4" s="161"/>
      <c r="L4" s="161"/>
    </row>
    <row r="5" spans="1:13" s="87" customFormat="1" ht="14.25" outlineLevel="1" x14ac:dyDescent="0.25">
      <c r="A5" s="10">
        <v>1012</v>
      </c>
      <c r="B5" s="84" t="str">
        <f t="shared" ref="B5" si="1">CONCATENATE(C5,"   ",D5,"   ",E5,"   ",F5,"   ",G5)</f>
        <v>Velin Etiwell 68 g   Permanent   2028Y/22   Sans silicone   Glassine 58 g chinois LK</v>
      </c>
      <c r="C5" s="171" t="s">
        <v>97</v>
      </c>
      <c r="D5" s="84" t="s">
        <v>5</v>
      </c>
      <c r="E5" s="85" t="s">
        <v>143</v>
      </c>
      <c r="F5" s="85" t="s">
        <v>26</v>
      </c>
      <c r="G5" s="86" t="s">
        <v>107</v>
      </c>
      <c r="H5" s="10" t="s">
        <v>3</v>
      </c>
      <c r="I5" s="140" cm="1">
        <f t="array" ref="I5">IF(B5="","",SUM(_xlfn._xlws.FILTER(Parametres!H$1:H$257, (Parametres!C$1:C$257=E5) + (Parametres!C$1:C$257=G5) + (Parametres!C$1:C$257=F5) + (Parametres!C$1:C$257=C5))))</f>
        <v>0.26889063461538465</v>
      </c>
      <c r="J5" s="98">
        <f t="shared" si="0"/>
        <v>0.32889063461538465</v>
      </c>
      <c r="K5" s="101"/>
      <c r="L5" s="101"/>
      <c r="M5" s="101"/>
    </row>
    <row r="6" spans="1:13" s="97" customFormat="1" ht="14.25" outlineLevel="1" x14ac:dyDescent="0.3">
      <c r="A6" s="10"/>
      <c r="B6" s="84"/>
      <c r="C6" s="172"/>
      <c r="D6" s="84"/>
      <c r="E6" s="85"/>
      <c r="F6" s="85"/>
      <c r="G6" s="86"/>
      <c r="H6" s="10"/>
      <c r="I6" s="140" t="str" cm="1">
        <f t="array" ref="I6">IF(B6="","",SUM(_xlfn._xlws.FILTER(Parametres!H$1:H$257, (Parametres!C$1:C$257=E6) + (Parametres!C$1:C$257=G6) + (Parametres!C$1:C$257=F6) + (Parametres!C$1:C$257=C6))))</f>
        <v/>
      </c>
      <c r="J6" s="98"/>
      <c r="K6" s="101"/>
      <c r="L6" s="101"/>
      <c r="M6" s="153"/>
    </row>
    <row r="7" spans="1:13" s="162" customFormat="1" ht="14.25" outlineLevel="1" x14ac:dyDescent="0.25">
      <c r="A7" s="38">
        <v>1012</v>
      </c>
      <c r="B7" s="149" t="str">
        <f>CONCATENATE(C7,"   ",D7,"   ",E7,"   ",F7,"   ",G7)</f>
        <v>Velin Etiwell 68 g   Enlevable   1408/22   Sans silicone   Glassine 58 g chinois LK</v>
      </c>
      <c r="C7" s="170" t="s">
        <v>97</v>
      </c>
      <c r="D7" s="149" t="s">
        <v>2</v>
      </c>
      <c r="E7" s="150" t="s">
        <v>70</v>
      </c>
      <c r="F7" s="150" t="s">
        <v>26</v>
      </c>
      <c r="G7" s="94" t="s">
        <v>107</v>
      </c>
      <c r="H7" s="38" t="s">
        <v>3</v>
      </c>
      <c r="I7" s="159" cm="1">
        <f t="array" ref="I7">IF(B7="","",SUM(_xlfn._xlws.FILTER(Parametres!H$1:H$257, (Parametres!C$1:C$257=E7) + (Parametres!C$1:C$257=G7) + (Parametres!C$1:C$257=F7) + (Parametres!C$1:C$257=C7))))</f>
        <v>0.29799138461538466</v>
      </c>
      <c r="J7" s="160">
        <f>I7+0.06</f>
        <v>0.35799138461538466</v>
      </c>
      <c r="K7" s="161"/>
      <c r="L7" s="161"/>
    </row>
    <row r="8" spans="1:13" s="87" customFormat="1" ht="14.25" outlineLevel="1" x14ac:dyDescent="0.25">
      <c r="A8" s="10">
        <v>1012</v>
      </c>
      <c r="B8" s="84" t="str">
        <f>CONCATENATE(C8,"   ",D8,"   ",E8,"   ",F8,"   ",G8)</f>
        <v>Velin Etiwell 68 g   Enlevable   2355/22   Sans silicone   Glassine 58 g chinois LK</v>
      </c>
      <c r="C8" s="171" t="s">
        <v>97</v>
      </c>
      <c r="D8" s="84" t="s">
        <v>2</v>
      </c>
      <c r="E8" s="85" t="s">
        <v>133</v>
      </c>
      <c r="F8" s="85" t="s">
        <v>26</v>
      </c>
      <c r="G8" s="86" t="s">
        <v>107</v>
      </c>
      <c r="H8" s="10" t="s">
        <v>3</v>
      </c>
      <c r="I8" s="140" cm="1">
        <f t="array" ref="I8">IF(B8="","",SUM(_xlfn._xlws.FILTER(Parametres!H$1:H$257, (Parametres!C$1:C$257=E8) + (Parametres!C$1:C$257=G8) + (Parametres!C$1:C$257=F8) + (Parametres!C$1:C$257=C8))))</f>
        <v>0.35020138461538464</v>
      </c>
      <c r="J8" s="98">
        <f>I8+0.06</f>
        <v>0.41020138461538463</v>
      </c>
      <c r="K8" s="101"/>
      <c r="L8" s="101"/>
      <c r="M8" s="101"/>
    </row>
    <row r="9" spans="1:13" s="87" customFormat="1" outlineLevel="1" x14ac:dyDescent="0.25">
      <c r="A9" s="10"/>
      <c r="B9" s="84"/>
      <c r="C9" s="111"/>
      <c r="D9" s="84"/>
      <c r="E9" s="85"/>
      <c r="F9" s="85"/>
      <c r="G9" s="85"/>
      <c r="H9" s="10"/>
      <c r="I9" s="140" t="str" cm="1">
        <f t="array" ref="I9">IF(B9="","",SUM(_xlfn._xlws.FILTER(Parametres!H$1:H$257, (Parametres!C$1:C$257=E9) + (Parametres!C$1:C$257=G9) + (Parametres!C$1:C$257=F9) + (Parametres!C$1:C$257=C9))))</f>
        <v/>
      </c>
      <c r="J9" s="98"/>
      <c r="K9" s="101"/>
      <c r="L9" s="101"/>
      <c r="M9" s="101"/>
    </row>
    <row r="10" spans="1:13" s="162" customFormat="1" ht="14.25" outlineLevel="1" x14ac:dyDescent="0.25">
      <c r="A10" s="38">
        <v>1012</v>
      </c>
      <c r="B10" s="149" t="str">
        <f t="shared" ref="B10:B15" si="2">CONCATENATE(C10,"   ",D10,"   ",E10,"   ",F10,"   ",G10)</f>
        <v>Velin Etiwell 68 g   Congélation   2030/22   Sans silicone   Glassine 58 g chinois LK</v>
      </c>
      <c r="C10" s="170" t="s">
        <v>97</v>
      </c>
      <c r="D10" s="149" t="s">
        <v>1</v>
      </c>
      <c r="E10" s="150" t="s">
        <v>147</v>
      </c>
      <c r="F10" s="150" t="s">
        <v>26</v>
      </c>
      <c r="G10" s="94" t="s">
        <v>107</v>
      </c>
      <c r="H10" s="38" t="s">
        <v>3</v>
      </c>
      <c r="I10" s="159" cm="1">
        <f t="array" ref="I10">IF(B10="","",SUM(_xlfn._xlws.FILTER(Parametres!H$1:H$257, (Parametres!C$1:C$257=E10) + (Parametres!C$1:C$257=G10) + (Parametres!C$1:C$257=F10) + (Parametres!C$1:C$257=C10))))</f>
        <v>0.27828613461538465</v>
      </c>
      <c r="J10" s="160">
        <f>I10+0.06</f>
        <v>0.33828613461538465</v>
      </c>
      <c r="K10" s="161"/>
      <c r="L10" s="161"/>
    </row>
    <row r="11" spans="1:13" s="88" customFormat="1" ht="14.25" x14ac:dyDescent="0.25">
      <c r="A11" s="10">
        <v>1043</v>
      </c>
      <c r="B11" s="84" t="str">
        <f>CONCATENATE(C11,"   ",D11,"   ",E11,"   ",F11,"   ",G11)</f>
        <v>Velin Etiwell 68 g   Congélation   2028/25   Sans silicone   Glassine 58 g chinois LK</v>
      </c>
      <c r="C11" s="171" t="s">
        <v>97</v>
      </c>
      <c r="D11" s="84" t="s">
        <v>1</v>
      </c>
      <c r="E11" s="86" t="s">
        <v>66</v>
      </c>
      <c r="F11" s="85" t="s">
        <v>26</v>
      </c>
      <c r="G11" s="86" t="s">
        <v>107</v>
      </c>
      <c r="H11" s="10" t="s">
        <v>4</v>
      </c>
      <c r="I11" s="140" cm="1">
        <f t="array" ref="I11">IF(B11="","",SUM(_xlfn._xlws.FILTER(Parametres!H$1:H$257, (Parametres!C$1:C$257=E11) + (Parametres!C$1:C$257=G11) + (Parametres!C$1:C$257=F11) + (Parametres!C$1:C$257=C11))))</f>
        <v>0.27685638461538464</v>
      </c>
      <c r="J11" s="98">
        <f>I11+0.06</f>
        <v>0.33685638461538464</v>
      </c>
      <c r="K11" s="105"/>
      <c r="L11" s="105"/>
      <c r="M11" s="105"/>
    </row>
    <row r="12" spans="1:13" s="87" customFormat="1" outlineLevel="1" x14ac:dyDescent="0.25">
      <c r="A12" s="37"/>
      <c r="B12" s="91" t="str">
        <f t="shared" si="2"/>
        <v xml:space="preserve">            </v>
      </c>
      <c r="C12" s="173"/>
      <c r="D12" s="91"/>
      <c r="E12" s="93"/>
      <c r="F12" s="92"/>
      <c r="G12" s="92"/>
      <c r="H12" s="37"/>
      <c r="I12" s="140"/>
      <c r="J12" s="98"/>
      <c r="K12" s="101"/>
      <c r="L12" s="101"/>
      <c r="M12" s="101"/>
    </row>
    <row r="13" spans="1:13" s="161" customFormat="1" ht="14.25" outlineLevel="1" x14ac:dyDescent="0.25">
      <c r="A13" s="38">
        <v>1012</v>
      </c>
      <c r="B13" s="149" t="str">
        <f>CONCATENATE(C13,"   ",D13,"   ",E13,"   ",F13,"   ",G13)</f>
        <v>Velin Etiwell 68 g   Pneu   2288/25   Sans silicone   Glassine 58 g chinois LK</v>
      </c>
      <c r="C13" s="170" t="s">
        <v>97</v>
      </c>
      <c r="D13" s="149" t="s">
        <v>43</v>
      </c>
      <c r="E13" s="150" t="s">
        <v>73</v>
      </c>
      <c r="F13" s="150" t="s">
        <v>26</v>
      </c>
      <c r="G13" s="94" t="s">
        <v>107</v>
      </c>
      <c r="H13" s="38" t="s">
        <v>3</v>
      </c>
      <c r="I13" s="159" cm="1">
        <f t="array" ref="I13">IF(B13="","",SUM(_xlfn._xlws.FILTER(Parametres!H$1:H$257, (Parametres!C$1:C$257=E13) + (Parametres!C$1:C$257=G13) + (Parametres!C$1:C$257=F13) + (Parametres!C$1:C$257=C13))))</f>
        <v>0.27705138461538464</v>
      </c>
      <c r="J13" s="160">
        <f>I13+0.06</f>
        <v>0.33705138461538464</v>
      </c>
    </row>
    <row r="14" spans="1:13" s="87" customFormat="1" ht="14.25" outlineLevel="1" x14ac:dyDescent="0.25">
      <c r="A14" s="10"/>
      <c r="B14" s="84"/>
      <c r="C14" s="171"/>
      <c r="D14" s="84"/>
      <c r="E14" s="85"/>
      <c r="F14" s="85"/>
      <c r="G14" s="86"/>
      <c r="H14" s="10"/>
      <c r="I14" s="140"/>
      <c r="J14" s="98"/>
      <c r="K14" s="101"/>
      <c r="L14" s="101"/>
      <c r="M14" s="101"/>
    </row>
    <row r="15" spans="1:13" s="161" customFormat="1" ht="14.25" outlineLevel="1" x14ac:dyDescent="0.3">
      <c r="A15" s="163">
        <v>2100</v>
      </c>
      <c r="B15" s="149" t="str">
        <f t="shared" si="2"/>
        <v>Velin fluo guyenne    Permanent   2028Y/19   Sans Silicone   Glassine 58 g chinois LK</v>
      </c>
      <c r="C15" s="174" t="s">
        <v>82</v>
      </c>
      <c r="D15" s="149" t="s">
        <v>5</v>
      </c>
      <c r="E15" s="164" t="s">
        <v>116</v>
      </c>
      <c r="F15" s="149" t="s">
        <v>27</v>
      </c>
      <c r="G15" s="94" t="s">
        <v>107</v>
      </c>
      <c r="H15" s="163"/>
      <c r="I15" s="159" cm="1">
        <f t="array" ref="I15">IF(B15="","",SUM(_xlfn._xlws.FILTER(Parametres!H$1:H$257, (Parametres!C$1:C$257=E15) + (Parametres!C$1:C$257=G15) + (Parametres!C$1:C$257=F15) + (Parametres!C$1:C$257=C15))))</f>
        <v>0.45032638461538466</v>
      </c>
      <c r="J15" s="160">
        <f>I15+0.06</f>
        <v>0.51032638461538471</v>
      </c>
    </row>
    <row r="16" spans="1:13" ht="14.25" outlineLevel="1" x14ac:dyDescent="0.3">
      <c r="A16" s="184"/>
      <c r="B16" s="91"/>
      <c r="C16" s="172"/>
      <c r="D16" s="91"/>
      <c r="E16" s="93"/>
      <c r="F16" s="92"/>
      <c r="G16" s="86"/>
      <c r="H16" s="184"/>
      <c r="I16" s="140"/>
      <c r="J16" s="98"/>
    </row>
    <row r="17" spans="1:13" s="87" customFormat="1" x14ac:dyDescent="0.25">
      <c r="A17" s="37"/>
      <c r="B17" s="91"/>
      <c r="C17" s="173"/>
      <c r="D17" s="91"/>
      <c r="E17" s="93"/>
      <c r="F17" s="92"/>
      <c r="G17" s="92"/>
      <c r="H17" s="37"/>
      <c r="I17" s="140" t="str" cm="1">
        <f t="array" ref="I17">IF(B17="","",SUM(_xlfn._xlws.FILTER(Parametres!H$1:H$257, (Parametres!C$1:C$257=E17) + (Parametres!C$1:C$257=G17) + (Parametres!C$1:C$257=F17) + (Parametres!C$1:C$257=C17))))</f>
        <v/>
      </c>
      <c r="J17" s="98"/>
      <c r="K17" s="101"/>
      <c r="L17" s="101"/>
      <c r="M17" s="101"/>
    </row>
    <row r="18" spans="1:13" s="87" customFormat="1" ht="15" outlineLevel="1" x14ac:dyDescent="0.25">
      <c r="A18" s="167" t="s">
        <v>12</v>
      </c>
      <c r="B18" s="155"/>
      <c r="C18" s="110"/>
      <c r="D18" s="84"/>
      <c r="E18" s="89"/>
      <c r="F18" s="84"/>
      <c r="G18" s="89"/>
      <c r="H18" s="10"/>
      <c r="I18" s="140" t="str" cm="1">
        <f t="array" ref="I18">IF(B18="","",SUM(_xlfn._xlws.FILTER(Parametres!H$1:H$257, (Parametres!C$1:C$257=E18) + (Parametres!C$1:C$257=G18) + (Parametres!C$1:C$257=F18) + (Parametres!C$1:C$257=C18))))</f>
        <v/>
      </c>
      <c r="J18" s="98"/>
      <c r="K18" s="101"/>
      <c r="L18" s="101"/>
      <c r="M18" s="101"/>
    </row>
    <row r="19" spans="1:13" s="149" customFormat="1" ht="14.25" outlineLevel="1" x14ac:dyDescent="0.25">
      <c r="A19" s="38">
        <v>1141</v>
      </c>
      <c r="B19" s="149" t="str">
        <f>CONCATENATE(C19,"   ",D19,"   ",E19,"   ",F19,"   ",G19)</f>
        <v>Eti Lux 80 g Burgo   Permanent   2028Y/19   Sans Silicone   Glassine 58 g chinois</v>
      </c>
      <c r="C19" s="175" t="s">
        <v>83</v>
      </c>
      <c r="D19" s="149" t="s">
        <v>5</v>
      </c>
      <c r="E19" s="150" t="s">
        <v>116</v>
      </c>
      <c r="F19" s="149" t="s">
        <v>27</v>
      </c>
      <c r="G19" s="94" t="s">
        <v>79</v>
      </c>
      <c r="H19" s="38" t="s">
        <v>3</v>
      </c>
      <c r="I19" s="159" cm="1">
        <f t="array" ref="I19">IF(B19="","",SUM(_xlfn._xlws.FILTER(Parametres!H$1:H$257, (Parametres!C$1:C$257=E19) + (Parametres!C$1:C$257=G19) + (Parametres!C$1:C$257=F19) + (Parametres!C$1:C$257=C19))))</f>
        <v>0.14749499999999999</v>
      </c>
      <c r="J19" s="160">
        <f t="shared" ref="J19:J24" si="3">I19+0.06</f>
        <v>0.20749499999999999</v>
      </c>
    </row>
    <row r="20" spans="1:13" s="87" customFormat="1" ht="14.25" outlineLevel="1" x14ac:dyDescent="0.25">
      <c r="A20" s="10"/>
      <c r="B20" s="84"/>
      <c r="C20" s="176"/>
      <c r="D20" s="84"/>
      <c r="E20" s="85"/>
      <c r="F20" s="84"/>
      <c r="G20" s="86"/>
      <c r="H20" s="10"/>
      <c r="I20" s="140" t="str" cm="1">
        <f t="array" ref="I20">IF(B20="","",SUM(_xlfn._xlws.FILTER(Parametres!H$1:H$257, (Parametres!C$1:C$257=E20) + (Parametres!C$1:C$257=G20) + (Parametres!C$1:C$257=F20) + (Parametres!C$1:C$257=C20))))</f>
        <v/>
      </c>
      <c r="J20" s="98"/>
      <c r="K20" s="101"/>
      <c r="L20" s="101"/>
      <c r="M20" s="101"/>
    </row>
    <row r="21" spans="1:13" s="149" customFormat="1" ht="14.25" outlineLevel="1" x14ac:dyDescent="0.25">
      <c r="A21" s="38">
        <v>1141</v>
      </c>
      <c r="B21" s="149" t="str">
        <f>CONCATENATE(C21,"   ",D21,"   ",E21,"   ",F21,"   ",G21)</f>
        <v>Eti Lux 80 g Burgo   Permanent   1408/22   Sans Silicone   Glassine 58 g chinois</v>
      </c>
      <c r="C21" s="175" t="s">
        <v>83</v>
      </c>
      <c r="D21" s="149" t="s">
        <v>5</v>
      </c>
      <c r="E21" s="150" t="s">
        <v>70</v>
      </c>
      <c r="F21" s="149" t="s">
        <v>27</v>
      </c>
      <c r="G21" s="94" t="s">
        <v>79</v>
      </c>
      <c r="H21" s="38" t="s">
        <v>3</v>
      </c>
      <c r="I21" s="159" cm="1">
        <f t="array" ref="I21">IF(B21="","",SUM(_xlfn._xlws.FILTER(Parametres!H$1:H$257, (Parametres!C$1:C$257=E21) + (Parametres!C$1:C$257=G21) + (Parametres!C$1:C$257=F21) + (Parametres!C$1:C$257=C21))))</f>
        <v>0.18540000000000001</v>
      </c>
      <c r="J21" s="160">
        <f t="shared" ref="J21" si="4">I21+0.06</f>
        <v>0.24540000000000001</v>
      </c>
    </row>
    <row r="22" spans="1:13" s="90" customFormat="1" ht="14.25" outlineLevel="1" x14ac:dyDescent="0.25">
      <c r="A22" s="10">
        <v>1141</v>
      </c>
      <c r="B22" s="84" t="str">
        <f>CONCATENATE(C22,"   ",D22,"   ",E22,"   ",F22,"   ",G22)</f>
        <v>Eti Lux 80 g Burgo   Permanent   2355/22   Sans Silicone   Glassine 58 g chinois</v>
      </c>
      <c r="C22" s="176" t="s">
        <v>83</v>
      </c>
      <c r="D22" s="84" t="s">
        <v>5</v>
      </c>
      <c r="E22" s="85" t="s">
        <v>133</v>
      </c>
      <c r="F22" s="84" t="s">
        <v>27</v>
      </c>
      <c r="G22" s="86" t="s">
        <v>79</v>
      </c>
      <c r="H22" s="10" t="s">
        <v>3</v>
      </c>
      <c r="I22" s="140" cm="1">
        <f t="array" ref="I22">IF(B22="","",SUM(_xlfn._xlws.FILTER(Parametres!H$1:H$257, (Parametres!C$1:C$257=E22) + (Parametres!C$1:C$257=G22) + (Parametres!C$1:C$257=F22) + (Parametres!C$1:C$257=C22))))</f>
        <v>0.23760999999999999</v>
      </c>
      <c r="J22" s="98">
        <f t="shared" ref="J22" si="5">I22+0.06</f>
        <v>0.29760999999999999</v>
      </c>
      <c r="K22" s="84"/>
      <c r="L22" s="84"/>
      <c r="M22" s="84"/>
    </row>
    <row r="23" spans="1:13" s="87" customFormat="1" ht="14.25" outlineLevel="1" x14ac:dyDescent="0.25">
      <c r="A23" s="10"/>
      <c r="B23" s="84"/>
      <c r="C23" s="176"/>
      <c r="D23" s="84"/>
      <c r="E23" s="85"/>
      <c r="F23" s="84"/>
      <c r="G23" s="86"/>
      <c r="H23" s="10"/>
      <c r="I23" s="140"/>
      <c r="J23" s="98"/>
      <c r="K23" s="101"/>
      <c r="L23" s="101"/>
      <c r="M23" s="101"/>
    </row>
    <row r="24" spans="1:13" s="87" customFormat="1" ht="14.25" outlineLevel="1" x14ac:dyDescent="0.3">
      <c r="A24" s="10">
        <v>1141</v>
      </c>
      <c r="B24" s="84" t="str">
        <f>CONCATENATE(C24,"   ",D24,"   ",E24,"   ",F24,"   ",G24)</f>
        <v>Couché 115 grammes   Permanent   2288/55   Sans Silicone   Glassine 58 g chinois LK</v>
      </c>
      <c r="C24" s="177" t="s">
        <v>155</v>
      </c>
      <c r="D24" s="84" t="s">
        <v>5</v>
      </c>
      <c r="E24" s="85" t="s">
        <v>112</v>
      </c>
      <c r="F24" s="84" t="s">
        <v>27</v>
      </c>
      <c r="G24" s="86" t="s">
        <v>107</v>
      </c>
      <c r="H24" s="10" t="s">
        <v>3</v>
      </c>
      <c r="I24" s="140" cm="1">
        <f t="array" ref="I24">IF(B24="","",SUM(_xlfn._xlws.FILTER(Parametres!H$1:H$257, (Parametres!C$1:C$257=E24) + (Parametres!C$1:C$257=G24) + (Parametres!C$1:C$257=F24) + (Parametres!C$1:C$257=C24))))</f>
        <v>0.42168138461538462</v>
      </c>
      <c r="J24" s="98">
        <f t="shared" si="3"/>
        <v>0.48168138461538462</v>
      </c>
      <c r="K24" s="101"/>
      <c r="L24" s="101"/>
      <c r="M24" s="101"/>
    </row>
    <row r="25" spans="1:13" s="88" customFormat="1" ht="14.25" outlineLevel="1" x14ac:dyDescent="0.3">
      <c r="A25" s="10"/>
      <c r="B25" s="84"/>
      <c r="C25" s="177"/>
      <c r="D25" s="84"/>
      <c r="E25" s="85"/>
      <c r="F25" s="84"/>
      <c r="G25" s="86"/>
      <c r="H25" s="10"/>
      <c r="I25" s="140"/>
      <c r="J25" s="98"/>
      <c r="K25" s="105"/>
      <c r="L25" s="105"/>
      <c r="M25" s="105"/>
    </row>
    <row r="26" spans="1:13" s="88" customFormat="1" ht="14.25" outlineLevel="1" x14ac:dyDescent="0.3">
      <c r="A26" s="10"/>
      <c r="B26" s="84"/>
      <c r="C26" s="177"/>
      <c r="D26" s="84"/>
      <c r="E26" s="85"/>
      <c r="F26" s="84"/>
      <c r="G26" s="86"/>
      <c r="H26" s="10"/>
      <c r="I26" s="140"/>
      <c r="J26" s="98"/>
      <c r="K26" s="105"/>
      <c r="L26" s="105"/>
      <c r="M26" s="105"/>
    </row>
    <row r="27" spans="1:13" s="88" customFormat="1" ht="15" x14ac:dyDescent="0.25">
      <c r="A27" s="167" t="s">
        <v>156</v>
      </c>
      <c r="B27" s="84"/>
      <c r="C27" s="178"/>
      <c r="D27" s="84"/>
      <c r="E27" s="85"/>
      <c r="F27" s="84"/>
      <c r="G27" s="86"/>
      <c r="H27" s="10"/>
      <c r="I27" s="140" t="str" cm="1">
        <f t="array" ref="I27">IF(B27="","",SUM(_xlfn._xlws.FILTER(Parametres!H$1:H$257, (Parametres!C$1:C$257=E27) + (Parametres!C$1:C$257=G27) + (Parametres!C$1:C$257=F27) + (Parametres!C$1:C$257=C27))))</f>
        <v/>
      </c>
      <c r="J27" s="98"/>
      <c r="K27" s="105"/>
      <c r="L27" s="105"/>
      <c r="M27" s="105"/>
    </row>
    <row r="28" spans="1:13" s="88" customFormat="1" ht="14.25" x14ac:dyDescent="0.25">
      <c r="A28" s="37"/>
      <c r="B28" s="84" t="str">
        <f>CONCATENATE(C28,"   ",D28,"   ",E28,"   ",F28,"   ",G28)</f>
        <v>True color jet d'encre   Permanent   2028Y/19   Sans Silicone   Glassine 58 g chinois LK</v>
      </c>
      <c r="C28" s="179" t="s">
        <v>149</v>
      </c>
      <c r="D28" s="84" t="s">
        <v>5</v>
      </c>
      <c r="E28" s="85" t="s">
        <v>116</v>
      </c>
      <c r="F28" s="84" t="s">
        <v>27</v>
      </c>
      <c r="G28" s="86" t="s">
        <v>107</v>
      </c>
      <c r="H28" s="10" t="s">
        <v>3</v>
      </c>
      <c r="I28" s="140" cm="1">
        <f t="array" ref="I28">IF(B28="","",SUM(_xlfn._xlws.FILTER(Parametres!H$1:H$257, (Parametres!C$1:C$257=E28) + (Parametres!C$1:C$257=G28) + (Parametres!C$1:C$257=F28) + (Parametres!C$1:C$257=C28))))</f>
        <v>0.41532638461538463</v>
      </c>
      <c r="J28" s="98">
        <f>I28+0.06</f>
        <v>0.47532638461538462</v>
      </c>
      <c r="K28" s="105"/>
      <c r="L28" s="105"/>
      <c r="M28" s="105"/>
    </row>
    <row r="29" spans="1:13" s="87" customFormat="1" ht="15.75" customHeight="1" outlineLevel="1" x14ac:dyDescent="0.25">
      <c r="A29" s="37"/>
      <c r="B29" s="103"/>
      <c r="C29" s="179"/>
      <c r="D29" s="84"/>
      <c r="E29" s="85"/>
      <c r="F29" s="84"/>
      <c r="G29" s="86"/>
      <c r="H29" s="10"/>
      <c r="I29" s="140" t="str" cm="1">
        <f t="array" ref="I29">IF(B29="","",SUM(_xlfn._xlws.FILTER(Parametres!H$1:H$257, (Parametres!C$1:C$257=E29) + (Parametres!C$1:C$257=G29) + (Parametres!C$1:C$257=F29) + (Parametres!C$1:C$257=C29))))</f>
        <v/>
      </c>
      <c r="J29" s="98"/>
      <c r="K29" s="101"/>
      <c r="L29" s="101"/>
      <c r="M29" s="101"/>
    </row>
    <row r="30" spans="1:13" s="88" customFormat="1" ht="15.75" customHeight="1" outlineLevel="1" x14ac:dyDescent="0.25">
      <c r="A30" s="37"/>
      <c r="B30" s="91"/>
      <c r="C30" s="180"/>
      <c r="D30" s="84"/>
      <c r="E30" s="85"/>
      <c r="F30" s="85"/>
      <c r="G30" s="86"/>
      <c r="H30" s="10"/>
      <c r="I30" s="140"/>
      <c r="J30" s="98"/>
      <c r="K30" s="105"/>
      <c r="L30" s="105"/>
      <c r="M30" s="105"/>
    </row>
    <row r="31" spans="1:13" s="88" customFormat="1" ht="15" x14ac:dyDescent="0.25">
      <c r="A31" s="167" t="s">
        <v>71</v>
      </c>
      <c r="B31" s="155"/>
      <c r="C31" s="180"/>
      <c r="D31" s="84"/>
      <c r="E31" s="85"/>
      <c r="F31" s="85"/>
      <c r="G31" s="86"/>
      <c r="H31" s="10"/>
      <c r="I31" s="140"/>
      <c r="J31" s="98"/>
      <c r="K31" s="105"/>
      <c r="L31" s="105"/>
      <c r="M31" s="105"/>
    </row>
    <row r="32" spans="1:13" s="87" customFormat="1" outlineLevel="1" x14ac:dyDescent="0.25">
      <c r="A32" s="37"/>
      <c r="B32" s="91"/>
      <c r="C32" s="173"/>
      <c r="D32" s="91"/>
      <c r="E32" s="93"/>
      <c r="F32" s="92"/>
      <c r="G32" s="92"/>
      <c r="H32" s="37"/>
      <c r="I32" s="140" t="str" cm="1">
        <f t="array" ref="I32">IF(B32="","",SUM(_xlfn._xlws.FILTER(Parametres!H$1:H$257, (Parametres!C$1:C$257=E32) + (Parametres!C$1:C$257=G32) + (Parametres!C$1:C$257=F32) + (Parametres!C$1:C$257=C32))))</f>
        <v/>
      </c>
      <c r="J32" s="98"/>
      <c r="K32" s="101"/>
      <c r="L32" s="101"/>
      <c r="M32" s="101"/>
    </row>
    <row r="33" spans="1:13" s="161" customFormat="1" ht="14.25" outlineLevel="1" x14ac:dyDescent="0.3">
      <c r="A33" s="38">
        <v>1012</v>
      </c>
      <c r="B33" s="149" t="str">
        <f t="shared" ref="B33:B34" si="6">CONCATENATE(C33,"   ",D33,"   ",E33,"   ",F33,"   ",G33)</f>
        <v>Thermique Eco Chine Free lK   Permanent   2028Y/19   Sans silicone   Glassine 58 g chinois LK</v>
      </c>
      <c r="C33" s="56" t="s">
        <v>106</v>
      </c>
      <c r="D33" s="149" t="s">
        <v>5</v>
      </c>
      <c r="E33" s="158" t="s">
        <v>116</v>
      </c>
      <c r="F33" s="150" t="s">
        <v>26</v>
      </c>
      <c r="G33" s="94" t="s">
        <v>107</v>
      </c>
      <c r="H33" s="38" t="s">
        <v>108</v>
      </c>
      <c r="I33" s="159" cm="1">
        <f t="array" ref="I33">IF(B33="","",SUM(_xlfn._xlws.FILTER(Parametres!H$1:H$257, (Parametres!C$1:C$257=E33) + (Parametres!C$1:C$257=G33) + (Parametres!C$1:C$257=F33) + (Parametres!C$1:C$257=C33))))</f>
        <v>0.28484940000000003</v>
      </c>
      <c r="J33" s="160">
        <v>0.432</v>
      </c>
    </row>
    <row r="34" spans="1:13" s="87" customFormat="1" ht="14.25" outlineLevel="1" x14ac:dyDescent="0.3">
      <c r="A34" s="10">
        <v>1012</v>
      </c>
      <c r="B34" s="84" t="str">
        <f t="shared" si="6"/>
        <v>Thermique Eco Chine Free lK   Permanent   2028Y/22   Sans silicone   Glassine 58 g chinois LK</v>
      </c>
      <c r="C34" s="56" t="s">
        <v>106</v>
      </c>
      <c r="D34" s="84" t="s">
        <v>5</v>
      </c>
      <c r="E34" s="85" t="s">
        <v>143</v>
      </c>
      <c r="F34" s="85" t="s">
        <v>26</v>
      </c>
      <c r="G34" s="86" t="s">
        <v>107</v>
      </c>
      <c r="H34" s="10" t="s">
        <v>3</v>
      </c>
      <c r="I34" s="140" cm="1">
        <f t="array" ref="I34">IF(B34="","",SUM(_xlfn._xlws.FILTER(Parametres!H$1:H$257, (Parametres!C$1:C$257=E34) + (Parametres!C$1:C$257=G34) + (Parametres!C$1:C$257=F34) + (Parametres!C$1:C$257=C34))))</f>
        <v>0.29365365000000004</v>
      </c>
      <c r="J34" s="98">
        <v>0.432</v>
      </c>
      <c r="K34" s="101"/>
      <c r="L34" s="101"/>
      <c r="M34" s="101"/>
    </row>
    <row r="35" spans="1:13" s="97" customFormat="1" ht="14.25" outlineLevel="1" x14ac:dyDescent="0.25">
      <c r="A35" s="10"/>
      <c r="B35" s="84"/>
      <c r="C35" s="181"/>
      <c r="D35" s="84"/>
      <c r="E35" s="85"/>
      <c r="F35" s="85"/>
      <c r="G35" s="86"/>
      <c r="H35" s="10"/>
      <c r="I35" s="140" t="str" cm="1">
        <f t="array" ref="I35">IF(B35="","",SUM(_xlfn._xlws.FILTER(Parametres!H$1:H$257, (Parametres!C$1:C$257=E35) + (Parametres!C$1:C$257=G35) + (Parametres!C$1:C$257=F35) + (Parametres!C$1:C$257=C35))))</f>
        <v/>
      </c>
      <c r="J35" s="98"/>
      <c r="K35" s="101"/>
      <c r="L35" s="101"/>
      <c r="M35" s="153"/>
    </row>
    <row r="36" spans="1:13" s="162" customFormat="1" ht="14.25" outlineLevel="1" x14ac:dyDescent="0.3">
      <c r="A36" s="38">
        <v>1012</v>
      </c>
      <c r="B36" s="149" t="str">
        <f>CONCATENATE(C36,"   ",D36,"   ",E36,"   ",F36,"   ",G36)</f>
        <v>Thermique Eco Chine Free lK   Enlevable   1408/22   Sans silicone   Glassine 58 g chinois LK</v>
      </c>
      <c r="C36" s="56" t="s">
        <v>106</v>
      </c>
      <c r="D36" s="149" t="s">
        <v>2</v>
      </c>
      <c r="E36" s="150" t="s">
        <v>70</v>
      </c>
      <c r="F36" s="150" t="s">
        <v>26</v>
      </c>
      <c r="G36" s="94" t="s">
        <v>107</v>
      </c>
      <c r="H36" s="38" t="s">
        <v>3</v>
      </c>
      <c r="I36" s="159" cm="1">
        <f t="array" ref="I36">IF(B36="","",SUM(_xlfn._xlws.FILTER(Parametres!H$1:H$257, (Parametres!C$1:C$257=E36) + (Parametres!C$1:C$257=G36) + (Parametres!C$1:C$257=F36) + (Parametres!C$1:C$257=C36))))</f>
        <v>0.32275440000000005</v>
      </c>
      <c r="J36" s="160">
        <f>I36+0.06</f>
        <v>0.38275440000000005</v>
      </c>
      <c r="K36" s="161"/>
      <c r="L36" s="161"/>
    </row>
    <row r="37" spans="1:13" s="87" customFormat="1" ht="14.25" outlineLevel="1" x14ac:dyDescent="0.3">
      <c r="A37" s="10">
        <v>1012</v>
      </c>
      <c r="B37" s="84" t="str">
        <f>CONCATENATE(C37,"   ",D37,"   ",E37,"   ",F37,"   ",G37)</f>
        <v>Thermique Eco Chine Free lK   Enlevable   2355/22   Sans silicone   Glassine 58 g chinois LK</v>
      </c>
      <c r="C37" s="56" t="s">
        <v>106</v>
      </c>
      <c r="D37" s="84" t="s">
        <v>2</v>
      </c>
      <c r="E37" s="85" t="s">
        <v>133</v>
      </c>
      <c r="F37" s="85" t="s">
        <v>26</v>
      </c>
      <c r="G37" s="86" t="s">
        <v>107</v>
      </c>
      <c r="H37" s="10" t="s">
        <v>3</v>
      </c>
      <c r="I37" s="140" cm="1">
        <f t="array" ref="I37">IF(B37="","",SUM(_xlfn._xlws.FILTER(Parametres!H$1:H$257, (Parametres!C$1:C$257=E37) + (Parametres!C$1:C$257=G37) + (Parametres!C$1:C$257=F37) + (Parametres!C$1:C$257=C37))))</f>
        <v>0.37496440000000003</v>
      </c>
      <c r="J37" s="98">
        <f>I37+0.06</f>
        <v>0.43496440000000003</v>
      </c>
      <c r="K37" s="154"/>
      <c r="L37" s="101"/>
      <c r="M37" s="101"/>
    </row>
    <row r="38" spans="1:13" s="87" customFormat="1" ht="14.25" outlineLevel="1" x14ac:dyDescent="0.25">
      <c r="A38" s="10"/>
      <c r="B38" s="84"/>
      <c r="C38" s="181"/>
      <c r="D38" s="84"/>
      <c r="E38" s="85"/>
      <c r="F38" s="85"/>
      <c r="G38" s="85"/>
      <c r="H38" s="10"/>
      <c r="I38" s="140" t="str" cm="1">
        <f t="array" ref="I38">IF(B38="","",SUM(_xlfn._xlws.FILTER(Parametres!H$1:H$257, (Parametres!C$1:C$257=E38) + (Parametres!C$1:C$257=G38) + (Parametres!C$1:C$257=F38) + (Parametres!C$1:C$257=C38))))</f>
        <v/>
      </c>
      <c r="J38" s="98"/>
      <c r="K38" s="154"/>
      <c r="L38" s="101"/>
      <c r="M38" s="101"/>
    </row>
    <row r="39" spans="1:13" s="161" customFormat="1" ht="14.25" outlineLevel="1" x14ac:dyDescent="0.3">
      <c r="A39" s="38">
        <v>1012</v>
      </c>
      <c r="B39" s="149" t="str">
        <f t="shared" ref="B39" si="7">CONCATENATE(C39,"   ",D39,"   ",E39,"   ",F39,"   ",G39)</f>
        <v>Thermique Eco Chine Free lK   Congélation   2030/22   Sans silicone   Glassine 58 g chinois LK</v>
      </c>
      <c r="C39" s="56" t="s">
        <v>106</v>
      </c>
      <c r="D39" s="149" t="s">
        <v>1</v>
      </c>
      <c r="E39" s="150" t="s">
        <v>147</v>
      </c>
      <c r="F39" s="150" t="s">
        <v>26</v>
      </c>
      <c r="G39" s="94" t="s">
        <v>107</v>
      </c>
      <c r="H39" s="38" t="s">
        <v>3</v>
      </c>
      <c r="I39" s="159" cm="1">
        <f t="array" ref="I39">IF(B39="","",SUM(_xlfn._xlws.FILTER(Parametres!H$1:H$257, (Parametres!C$1:C$257=E39) + (Parametres!C$1:C$257=G39) + (Parametres!C$1:C$257=F39) + (Parametres!C$1:C$257=C39))))</f>
        <v>0.30304915000000004</v>
      </c>
      <c r="J39" s="160">
        <f>I39+0.06</f>
        <v>0.36304915000000004</v>
      </c>
      <c r="K39" s="158"/>
    </row>
    <row r="40" spans="1:13" s="108" customFormat="1" ht="14.25" outlineLevel="1" x14ac:dyDescent="0.3">
      <c r="A40" s="10">
        <v>1043</v>
      </c>
      <c r="B40" s="84" t="str">
        <f>CONCATENATE(C40,"   ",D40,"   ",E40,"   ",F40,"   ",G40)</f>
        <v>Thermique Eco Chine Free lK   Congélation   2028/25   Sans silicone   Glassine 58 g chinois LK</v>
      </c>
      <c r="C40" s="56" t="s">
        <v>106</v>
      </c>
      <c r="D40" s="84" t="s">
        <v>1</v>
      </c>
      <c r="E40" s="86" t="s">
        <v>66</v>
      </c>
      <c r="F40" s="85" t="s">
        <v>26</v>
      </c>
      <c r="G40" s="86" t="s">
        <v>107</v>
      </c>
      <c r="H40" s="10" t="s">
        <v>4</v>
      </c>
      <c r="I40" s="140" cm="1">
        <f t="array" ref="I40">IF(B40="","",SUM(_xlfn._xlws.FILTER(Parametres!H$1:H$257, (Parametres!C$1:C$257=E40) + (Parametres!C$1:C$257=G40) + (Parametres!C$1:C$257=F40) + (Parametres!C$1:C$257=C40))))</f>
        <v>0.30161940000000004</v>
      </c>
      <c r="J40" s="98">
        <f>I40+0.06</f>
        <v>0.36161940000000004</v>
      </c>
      <c r="K40" s="156"/>
      <c r="L40" s="156"/>
      <c r="M40" s="156"/>
    </row>
    <row r="41" spans="1:13" s="87" customFormat="1" ht="14.25" outlineLevel="1" x14ac:dyDescent="0.25">
      <c r="A41" s="37"/>
      <c r="B41" s="91" t="str">
        <f t="shared" ref="B41" si="8">CONCATENATE(C41,"   ",D41,"   ",E41,"   ",F41,"   ",G41)</f>
        <v xml:space="preserve">            </v>
      </c>
      <c r="C41" s="181"/>
      <c r="D41" s="91"/>
      <c r="E41" s="93"/>
      <c r="F41" s="92"/>
      <c r="G41" s="92"/>
      <c r="H41" s="37"/>
      <c r="I41" s="140"/>
      <c r="J41" s="98"/>
      <c r="K41" s="101"/>
      <c r="L41" s="101"/>
      <c r="M41" s="101"/>
    </row>
    <row r="42" spans="1:13" s="87" customFormat="1" ht="14.25" outlineLevel="1" x14ac:dyDescent="0.3">
      <c r="A42" s="10">
        <v>1012</v>
      </c>
      <c r="B42" s="84" t="str">
        <f>CONCATENATE(C42,"   ",D42,"   ",E42,"   ",F42,"   ",G42)</f>
        <v>Thermique Eco Chine Free lK   Pneu   2288/25   Sans silicone   Glassine 58 g chinois LK</v>
      </c>
      <c r="C42" s="56" t="s">
        <v>106</v>
      </c>
      <c r="D42" s="84" t="s">
        <v>43</v>
      </c>
      <c r="E42" s="85" t="s">
        <v>73</v>
      </c>
      <c r="F42" s="85" t="s">
        <v>26</v>
      </c>
      <c r="G42" s="86" t="s">
        <v>107</v>
      </c>
      <c r="H42" s="10" t="s">
        <v>3</v>
      </c>
      <c r="I42" s="140"/>
      <c r="J42" s="98"/>
      <c r="K42" s="101"/>
      <c r="L42" s="101"/>
      <c r="M42" s="101"/>
    </row>
    <row r="43" spans="1:13" s="87" customFormat="1" outlineLevel="1" x14ac:dyDescent="0.25">
      <c r="A43" s="37"/>
      <c r="B43" s="91"/>
      <c r="C43" s="147"/>
      <c r="D43" s="91"/>
      <c r="E43" s="107"/>
      <c r="F43" s="92"/>
      <c r="G43" s="106"/>
      <c r="H43" s="37"/>
      <c r="I43" s="140" t="str" cm="1">
        <f t="array" ref="I43">IF(B43="","",SUM(_xlfn._xlws.FILTER(Parametres!H$1:H$257, (Parametres!C$1:C$257=E43) + (Parametres!C$1:C$257=G43) + (Parametres!C$1:C$257=F43) + (Parametres!C$1:C$257=C43))))</f>
        <v/>
      </c>
      <c r="J43" s="98"/>
      <c r="K43" s="101"/>
      <c r="L43" s="101"/>
      <c r="M43" s="101"/>
    </row>
    <row r="44" spans="1:13" s="87" customFormat="1" ht="14.25" outlineLevel="1" x14ac:dyDescent="0.25">
      <c r="A44" s="157"/>
      <c r="B44" s="109"/>
      <c r="C44" s="111"/>
      <c r="D44" s="84"/>
      <c r="E44" s="85"/>
      <c r="F44" s="84"/>
      <c r="G44" s="86"/>
      <c r="H44" s="10"/>
      <c r="I44" s="140" t="str" cm="1">
        <f t="array" ref="I44">IF(B44="","",SUM(_xlfn._xlws.FILTER(Parametres!H$1:H$257, (Parametres!C$1:C$257=E44) + (Parametres!C$1:C$257=G44) + (Parametres!C$1:C$257=F44) + (Parametres!C$1:C$257=C44))))</f>
        <v/>
      </c>
      <c r="J44" s="98"/>
      <c r="K44" s="101"/>
      <c r="L44" s="101"/>
      <c r="M44" s="101"/>
    </row>
    <row r="45" spans="1:13" s="97" customFormat="1" ht="15" outlineLevel="1" x14ac:dyDescent="0.25">
      <c r="A45" s="167" t="s">
        <v>72</v>
      </c>
      <c r="B45" s="155"/>
      <c r="C45" s="178"/>
      <c r="D45" s="84"/>
      <c r="E45" s="85"/>
      <c r="F45" s="84"/>
      <c r="G45" s="85"/>
      <c r="H45" s="10"/>
      <c r="I45" s="140" t="str" cm="1">
        <f t="array" ref="I45">IF(B45="","",SUM(_xlfn._xlws.FILTER(Parametres!H$1:H$257, (Parametres!C$1:C$257=E45) + (Parametres!C$1:C$257=G45) + (Parametres!C$1:C$257=F45) + (Parametres!C$1:C$257=C45))))</f>
        <v/>
      </c>
      <c r="J45" s="98"/>
      <c r="K45" s="101"/>
      <c r="L45" s="101"/>
      <c r="M45" s="153"/>
    </row>
    <row r="46" spans="1:13" s="87" customFormat="1" ht="15" outlineLevel="1" x14ac:dyDescent="0.25">
      <c r="A46" s="168"/>
      <c r="B46" s="84"/>
      <c r="C46" s="110"/>
      <c r="D46" s="84"/>
      <c r="E46" s="85"/>
      <c r="F46" s="84"/>
      <c r="G46" s="85"/>
      <c r="H46" s="10"/>
      <c r="I46" s="140" t="str" cm="1">
        <f t="array" ref="I46">IF(B46="","",SUM(_xlfn._xlws.FILTER(Parametres!H$1:H$257, (Parametres!C$1:C$257=E46) + (Parametres!C$1:C$257=G46) + (Parametres!C$1:C$257=F46) + (Parametres!C$1:C$257=C46))))</f>
        <v/>
      </c>
      <c r="J46" s="98"/>
      <c r="K46" s="101"/>
      <c r="L46" s="101"/>
      <c r="M46" s="101"/>
    </row>
    <row r="47" spans="1:13" s="161" customFormat="1" ht="14.25" outlineLevel="1" x14ac:dyDescent="0.3">
      <c r="A47" s="38">
        <v>1012</v>
      </c>
      <c r="B47" s="149" t="str">
        <f>CONCATENATE(C47,"   ",D47,"   ",E47,"   ",F47,"   ",G47)</f>
        <v>Thermique Top Chine Free lK   Permanent   2028Y/19   Sans silicone   Glassine 58 g chinois LK</v>
      </c>
      <c r="C47" s="182" t="s">
        <v>110</v>
      </c>
      <c r="D47" s="149" t="s">
        <v>5</v>
      </c>
      <c r="E47" s="158" t="s">
        <v>116</v>
      </c>
      <c r="F47" s="150" t="s">
        <v>26</v>
      </c>
      <c r="G47" s="94" t="s">
        <v>107</v>
      </c>
      <c r="H47" s="38" t="s">
        <v>108</v>
      </c>
      <c r="I47" s="159" cm="1">
        <f t="array" ref="I47">IF(B47="","",SUM(_xlfn._xlws.FILTER(Parametres!H$1:H$257, (Parametres!C$1:C$257=E47) + (Parametres!C$1:C$257=G47) + (Parametres!C$1:C$257=F47) + (Parametres!C$1:C$257=C47))))</f>
        <v>0.301207</v>
      </c>
      <c r="J47" s="160">
        <f t="shared" ref="J47:J48" si="9">I47+0.06</f>
        <v>0.361207</v>
      </c>
    </row>
    <row r="48" spans="1:13" s="87" customFormat="1" ht="14.25" outlineLevel="1" x14ac:dyDescent="0.3">
      <c r="A48" s="10">
        <v>1012</v>
      </c>
      <c r="B48" s="84" t="str">
        <f t="shared" ref="B48" si="10">CONCATENATE(C48,"   ",D48,"   ",E48,"   ",F48,"   ",G48)</f>
        <v>Thermique Top Chine Free lK   Permanent   2028Y/22   Sans silicone   Glassine 58 g chinois LK</v>
      </c>
      <c r="C48" s="183" t="s">
        <v>110</v>
      </c>
      <c r="D48" s="84" t="s">
        <v>5</v>
      </c>
      <c r="E48" s="85" t="s">
        <v>143</v>
      </c>
      <c r="F48" s="85" t="s">
        <v>26</v>
      </c>
      <c r="G48" s="86" t="s">
        <v>107</v>
      </c>
      <c r="H48" s="10" t="s">
        <v>3</v>
      </c>
      <c r="I48" s="140" cm="1">
        <f t="array" ref="I48">IF(B48="","",SUM(_xlfn._xlws.FILTER(Parametres!H$1:H$257, (Parametres!C$1:C$257=E48) + (Parametres!C$1:C$257=G48) + (Parametres!C$1:C$257=F48) + (Parametres!C$1:C$257=C48))))</f>
        <v>0.31001125000000007</v>
      </c>
      <c r="J48" s="160">
        <f t="shared" si="9"/>
        <v>0.37001125000000007</v>
      </c>
      <c r="K48" s="101"/>
      <c r="L48" s="101"/>
      <c r="M48" s="101"/>
    </row>
    <row r="49" spans="1:13" s="97" customFormat="1" ht="14.25" outlineLevel="1" x14ac:dyDescent="0.3">
      <c r="A49" s="10"/>
      <c r="B49" s="84"/>
      <c r="C49" s="183"/>
      <c r="D49" s="84"/>
      <c r="E49" s="85"/>
      <c r="F49" s="85"/>
      <c r="G49" s="86"/>
      <c r="H49" s="10"/>
      <c r="I49" s="140" t="str" cm="1">
        <f t="array" ref="I49">IF(B49="","",SUM(_xlfn._xlws.FILTER(Parametres!H$1:H$257, (Parametres!C$1:C$257=E49) + (Parametres!C$1:C$257=G49) + (Parametres!C$1:C$257=F49) + (Parametres!C$1:C$257=C49))))</f>
        <v/>
      </c>
      <c r="J49" s="98"/>
      <c r="K49" s="101"/>
      <c r="L49" s="101"/>
      <c r="M49" s="153"/>
    </row>
    <row r="50" spans="1:13" s="162" customFormat="1" ht="14.25" outlineLevel="1" x14ac:dyDescent="0.3">
      <c r="A50" s="38">
        <v>1012</v>
      </c>
      <c r="B50" s="149" t="str">
        <f>CONCATENATE(C50,"   ",D50,"   ",E50,"   ",F50,"   ",G50)</f>
        <v>Thermique Top Chine Free lK   Enlevable   1408/22   Sans silicone   Glassine 58 g chinois LK</v>
      </c>
      <c r="C50" s="182" t="s">
        <v>110</v>
      </c>
      <c r="D50" s="149" t="s">
        <v>2</v>
      </c>
      <c r="E50" s="150" t="s">
        <v>70</v>
      </c>
      <c r="F50" s="150" t="s">
        <v>26</v>
      </c>
      <c r="G50" s="94" t="s">
        <v>107</v>
      </c>
      <c r="H50" s="38" t="s">
        <v>3</v>
      </c>
      <c r="I50" s="159" cm="1">
        <f t="array" ref="I50">IF(B50="","",SUM(_xlfn._xlws.FILTER(Parametres!H$1:H$257, (Parametres!C$1:C$257=E50) + (Parametres!C$1:C$257=G50) + (Parametres!C$1:C$257=F50) + (Parametres!C$1:C$257=C50))))</f>
        <v>0.33911200000000008</v>
      </c>
      <c r="J50" s="160">
        <f t="shared" ref="J50:J51" si="11">I50+0.06</f>
        <v>0.39911200000000008</v>
      </c>
      <c r="K50" s="161"/>
      <c r="L50" s="161"/>
    </row>
    <row r="51" spans="1:13" s="87" customFormat="1" ht="14.25" outlineLevel="1" x14ac:dyDescent="0.3">
      <c r="A51" s="10">
        <v>1012</v>
      </c>
      <c r="B51" s="84" t="str">
        <f>CONCATENATE(C51,"   ",D51,"   ",E51,"   ",F51,"   ",G51)</f>
        <v>Thermique Top Chine Free lK   Enlevable   2355/22   Sans silicone   Glassine 58 g chinois LK</v>
      </c>
      <c r="C51" s="183" t="s">
        <v>110</v>
      </c>
      <c r="D51" s="84" t="s">
        <v>2</v>
      </c>
      <c r="E51" s="85" t="s">
        <v>133</v>
      </c>
      <c r="F51" s="85" t="s">
        <v>26</v>
      </c>
      <c r="G51" s="86" t="s">
        <v>107</v>
      </c>
      <c r="H51" s="10" t="s">
        <v>3</v>
      </c>
      <c r="I51" s="140" cm="1">
        <f t="array" ref="I51">IF(B51="","",SUM(_xlfn._xlws.FILTER(Parametres!H$1:H$257, (Parametres!C$1:C$257=E51) + (Parametres!C$1:C$257=G51) + (Parametres!C$1:C$257=F51) + (Parametres!C$1:C$257=C51))))</f>
        <v>0.39132200000000006</v>
      </c>
      <c r="J51" s="160">
        <f t="shared" si="11"/>
        <v>0.45132200000000006</v>
      </c>
      <c r="K51" s="154"/>
      <c r="L51" s="101"/>
      <c r="M51" s="101"/>
    </row>
    <row r="52" spans="1:13" s="87" customFormat="1" ht="14.25" outlineLevel="1" x14ac:dyDescent="0.3">
      <c r="A52" s="10"/>
      <c r="B52" s="84"/>
      <c r="C52" s="183"/>
      <c r="D52" s="84"/>
      <c r="E52" s="85"/>
      <c r="F52" s="85"/>
      <c r="G52" s="85"/>
      <c r="H52" s="10"/>
      <c r="I52" s="140" t="str" cm="1">
        <f t="array" ref="I52">IF(B52="","",SUM(_xlfn._xlws.FILTER(Parametres!H$1:H$257, (Parametres!C$1:C$257=E52) + (Parametres!C$1:C$257=G52) + (Parametres!C$1:C$257=F52) + (Parametres!C$1:C$257=C52))))</f>
        <v/>
      </c>
      <c r="J52" s="98"/>
      <c r="K52" s="154"/>
      <c r="L52" s="101"/>
      <c r="M52" s="101"/>
    </row>
    <row r="53" spans="1:13" s="161" customFormat="1" ht="14.25" outlineLevel="1" x14ac:dyDescent="0.3">
      <c r="A53" s="38">
        <v>1012</v>
      </c>
      <c r="B53" s="149" t="str">
        <f t="shared" ref="B53" si="12">CONCATENATE(C53,"   ",D53,"   ",E53,"   ",F53,"   ",G53)</f>
        <v>Thermique Top Chine Free lK   Congélation   2030/22   Sans silicone   Glassine 58 g chinois LK</v>
      </c>
      <c r="C53" s="182" t="s">
        <v>110</v>
      </c>
      <c r="D53" s="149" t="s">
        <v>1</v>
      </c>
      <c r="E53" s="150" t="s">
        <v>147</v>
      </c>
      <c r="F53" s="150" t="s">
        <v>26</v>
      </c>
      <c r="G53" s="94" t="s">
        <v>107</v>
      </c>
      <c r="H53" s="38" t="s">
        <v>3</v>
      </c>
      <c r="I53" s="159" cm="1">
        <f t="array" ref="I53">IF(B53="","",SUM(_xlfn._xlws.FILTER(Parametres!H$1:H$257, (Parametres!C$1:C$257=E53) + (Parametres!C$1:C$257=G53) + (Parametres!C$1:C$257=F53) + (Parametres!C$1:C$257=C53))))</f>
        <v>0.31940675000000007</v>
      </c>
      <c r="J53" s="160">
        <f t="shared" ref="J53:J54" si="13">I53+0.06</f>
        <v>0.37940675000000007</v>
      </c>
      <c r="K53" s="158"/>
    </row>
    <row r="54" spans="1:13" s="108" customFormat="1" ht="14.25" outlineLevel="1" x14ac:dyDescent="0.3">
      <c r="A54" s="10">
        <v>1043</v>
      </c>
      <c r="B54" s="84" t="str">
        <f>CONCATENATE(C54,"   ",D54,"   ",E54,"   ",F54,"   ",G54)</f>
        <v>Thermique Top Chine Free lK   Congélation   2028/25   Sans silicone   Glassine 58 g chinois LK</v>
      </c>
      <c r="C54" s="183" t="s">
        <v>110</v>
      </c>
      <c r="D54" s="84" t="s">
        <v>1</v>
      </c>
      <c r="E54" s="86" t="s">
        <v>66</v>
      </c>
      <c r="F54" s="85" t="s">
        <v>26</v>
      </c>
      <c r="G54" s="86" t="s">
        <v>107</v>
      </c>
      <c r="H54" s="10" t="s">
        <v>4</v>
      </c>
      <c r="I54" s="140" cm="1">
        <f t="array" ref="I54">IF(B54="","",SUM(_xlfn._xlws.FILTER(Parametres!H$1:H$257, (Parametres!C$1:C$257=E54) + (Parametres!C$1:C$257=G54) + (Parametres!C$1:C$257=F54) + (Parametres!C$1:C$257=C54))))</f>
        <v>0.31797700000000007</v>
      </c>
      <c r="J54" s="160">
        <f t="shared" si="13"/>
        <v>0.37797700000000006</v>
      </c>
      <c r="K54" s="156"/>
      <c r="L54" s="156"/>
      <c r="M54" s="156"/>
    </row>
    <row r="55" spans="1:13" s="87" customFormat="1" ht="14.25" outlineLevel="1" x14ac:dyDescent="0.3">
      <c r="A55" s="37"/>
      <c r="B55" s="91" t="str">
        <f t="shared" ref="B55" si="14">CONCATENATE(C55,"   ",D55,"   ",E55,"   ",F55,"   ",G55)</f>
        <v xml:space="preserve">            </v>
      </c>
      <c r="C55" s="183"/>
      <c r="D55" s="91"/>
      <c r="E55" s="93"/>
      <c r="F55" s="92"/>
      <c r="G55" s="92"/>
      <c r="H55" s="37"/>
      <c r="I55" s="140"/>
      <c r="J55" s="98"/>
      <c r="K55" s="101"/>
      <c r="L55" s="101"/>
      <c r="M55" s="101"/>
    </row>
    <row r="56" spans="1:13" s="161" customFormat="1" ht="14.25" outlineLevel="1" x14ac:dyDescent="0.3">
      <c r="A56" s="38">
        <v>1012</v>
      </c>
      <c r="B56" s="149" t="str">
        <f>CONCATENATE(C56,"   ",D56,"   ",E56,"   ",F56,"   ",G56)</f>
        <v>Thermique Top Chine Free lK   Pneu   2288/25   Sans silicone   Glassine 58 g chinois LK</v>
      </c>
      <c r="C56" s="182" t="s">
        <v>110</v>
      </c>
      <c r="D56" s="149" t="s">
        <v>43</v>
      </c>
      <c r="E56" s="150" t="s">
        <v>73</v>
      </c>
      <c r="F56" s="150" t="s">
        <v>26</v>
      </c>
      <c r="G56" s="94" t="s">
        <v>107</v>
      </c>
      <c r="H56" s="38" t="s">
        <v>3</v>
      </c>
      <c r="I56" s="159"/>
      <c r="J56" s="160">
        <f>I56+0.06</f>
        <v>0.06</v>
      </c>
    </row>
    <row r="57" spans="1:13" s="87" customFormat="1" x14ac:dyDescent="0.25">
      <c r="A57" s="37"/>
      <c r="B57" s="91" t="str">
        <f t="shared" ref="B57:B58" si="15">CONCATENATE(C57,"   ",D57,"   ",E57,"   ",F57,"   ",G57)</f>
        <v xml:space="preserve">            </v>
      </c>
      <c r="C57" s="92"/>
      <c r="D57" s="91"/>
      <c r="E57" s="93"/>
      <c r="F57" s="92"/>
      <c r="G57" s="92"/>
      <c r="H57" s="37"/>
      <c r="I57" s="140"/>
      <c r="J57" s="98"/>
      <c r="K57" s="101"/>
      <c r="L57" s="101"/>
      <c r="M57" s="101"/>
    </row>
    <row r="58" spans="1:13" s="87" customFormat="1" ht="14.25" collapsed="1" x14ac:dyDescent="0.25">
      <c r="A58" s="63">
        <v>1223</v>
      </c>
      <c r="B58" s="110" t="str">
        <f t="shared" si="15"/>
        <v>Thermique protégé KLRB 46B bicolore   Permanent renforçé   2028Y/19   sans silicone   Glassine 58 g chinois LK</v>
      </c>
      <c r="C58" s="110" t="s">
        <v>45</v>
      </c>
      <c r="D58" s="110" t="s">
        <v>10</v>
      </c>
      <c r="E58" s="111" t="s">
        <v>116</v>
      </c>
      <c r="F58" s="110" t="s">
        <v>28</v>
      </c>
      <c r="G58" s="86" t="s">
        <v>107</v>
      </c>
      <c r="H58" s="63"/>
      <c r="I58" s="140" cm="1">
        <f t="array" ref="I58">IF(B58="","",SUM(_xlfn._xlws.FILTER(Parametres!H$1:H$257, (Parametres!C$1:C$257=E58) + (Parametres!C$1:C$257=G58) + (Parametres!C$1:C$257=F58) + (Parametres!C$1:C$257=C58))))</f>
        <v>0.17032638461538463</v>
      </c>
      <c r="J58" s="98">
        <f t="shared" ref="J58" si="16">I58+0.06</f>
        <v>0.23032638461538463</v>
      </c>
      <c r="K58" s="101"/>
      <c r="L58" s="101"/>
      <c r="M58" s="101"/>
    </row>
    <row r="59" spans="1:13" s="87" customFormat="1" ht="14.25" collapsed="1" x14ac:dyDescent="0.25">
      <c r="A59" s="63"/>
      <c r="B59" s="110"/>
      <c r="C59" s="110"/>
      <c r="D59" s="110"/>
      <c r="E59" s="111"/>
      <c r="F59" s="110"/>
      <c r="G59" s="112"/>
      <c r="H59" s="63"/>
      <c r="I59" s="140"/>
      <c r="J59" s="98"/>
      <c r="K59" s="101"/>
      <c r="L59" s="101"/>
      <c r="M59" s="101"/>
    </row>
    <row r="60" spans="1:13" s="87" customFormat="1" ht="22.5" x14ac:dyDescent="0.25">
      <c r="A60" s="63"/>
      <c r="B60" s="148" t="s">
        <v>154</v>
      </c>
      <c r="C60" s="147"/>
      <c r="D60" s="110"/>
      <c r="E60" s="111"/>
      <c r="F60" s="110"/>
      <c r="G60" s="112"/>
      <c r="H60" s="63"/>
      <c r="I60" s="140"/>
      <c r="J60" s="98"/>
      <c r="K60" s="101"/>
      <c r="L60" s="101"/>
      <c r="M60" s="101"/>
    </row>
    <row r="61" spans="1:13" s="87" customFormat="1" ht="14.25" x14ac:dyDescent="0.25">
      <c r="A61" s="12"/>
      <c r="B61" s="84"/>
      <c r="C61" s="86"/>
      <c r="D61" s="84"/>
      <c r="E61" s="89"/>
      <c r="F61" s="84"/>
      <c r="G61" s="85"/>
      <c r="H61" s="12"/>
      <c r="I61" s="140"/>
      <c r="J61" s="98"/>
      <c r="K61" s="101"/>
      <c r="L61" s="101"/>
      <c r="M61" s="101"/>
    </row>
    <row r="62" spans="1:13" s="87" customFormat="1" ht="14.25" x14ac:dyDescent="0.3">
      <c r="A62" s="55">
        <v>2200</v>
      </c>
      <c r="B62" s="95" t="str">
        <f>CONCATENATE(C62,"   ",D62,"   ",E62,"   ",F62,"   ",G62)</f>
        <v>RIFO PP 100µ RPG-95    Permanent    2028Y/40   sans silicone   Glassine 58 g chinois LK</v>
      </c>
      <c r="C62" s="21" t="s">
        <v>191</v>
      </c>
      <c r="D62" s="95" t="s">
        <v>75</v>
      </c>
      <c r="E62" s="100" t="s">
        <v>183</v>
      </c>
      <c r="F62" s="95" t="s">
        <v>28</v>
      </c>
      <c r="G62" s="94" t="s">
        <v>107</v>
      </c>
      <c r="H62" s="55"/>
      <c r="I62" s="140" cm="1">
        <f t="array" ref="I62">IF(B62="","",SUM(_xlfn._xlws.FILTER(Parametres!H$1:H$257, (Parametres!C$1:C$257=E62) + (Parametres!C$1:C$257=G62) + (Parametres!C$1:C$257=F62) + (Parametres!C$1:C$257=C62))))</f>
        <v>0.26249088461538467</v>
      </c>
      <c r="J62" s="96">
        <f t="shared" ref="J62" si="17">I62+0.06</f>
        <v>0.32249088461538467</v>
      </c>
      <c r="K62" s="101"/>
      <c r="L62" s="101"/>
      <c r="M62" s="101"/>
    </row>
    <row r="63" spans="1:13" s="87" customFormat="1" ht="14.25" x14ac:dyDescent="0.25">
      <c r="A63" s="55"/>
      <c r="B63" s="95"/>
      <c r="C63" s="86"/>
      <c r="D63" s="95"/>
      <c r="E63" s="100"/>
      <c r="F63" s="95"/>
      <c r="G63" s="99"/>
      <c r="H63" s="55"/>
      <c r="I63" s="140"/>
      <c r="J63" s="96"/>
      <c r="K63" s="101"/>
      <c r="L63" s="101"/>
      <c r="M63" s="101"/>
    </row>
    <row r="64" spans="1:13" s="87" customFormat="1" ht="14.25" x14ac:dyDescent="0.25">
      <c r="A64" s="12"/>
      <c r="B64" s="84"/>
      <c r="C64" s="86"/>
      <c r="D64" s="84"/>
      <c r="E64" s="89"/>
      <c r="F64" s="84"/>
      <c r="G64" s="99"/>
      <c r="H64" s="12"/>
      <c r="I64" s="140"/>
      <c r="J64" s="98"/>
      <c r="K64" s="101"/>
      <c r="L64" s="101"/>
      <c r="M64" s="101"/>
    </row>
    <row r="65" spans="1:13" s="87" customFormat="1" ht="15" x14ac:dyDescent="0.25">
      <c r="A65" s="12">
        <v>2200</v>
      </c>
      <c r="B65" s="84" t="str">
        <f>CONCATENATE(C65,"   ",D65,"   ",E65,"   ",F65,"   ",G65)</f>
        <v xml:space="preserve">            </v>
      </c>
      <c r="C65" s="115"/>
      <c r="D65" s="84"/>
      <c r="E65" s="89"/>
      <c r="F65" s="84"/>
      <c r="G65" s="112"/>
      <c r="H65" s="12"/>
      <c r="I65" s="140"/>
      <c r="J65" s="98"/>
      <c r="K65" s="101"/>
      <c r="L65" s="101"/>
      <c r="M65" s="101"/>
    </row>
    <row r="66" spans="1:13" s="87" customFormat="1" ht="14.25" x14ac:dyDescent="0.25">
      <c r="A66" s="12">
        <v>2100</v>
      </c>
      <c r="B66" s="84" t="str">
        <f t="shared" ref="B66:B83" si="18">CONCATENATE(C66,"   ",D66,"   ",E66,"   ",F66,"   ",G66)</f>
        <v xml:space="preserve">            </v>
      </c>
      <c r="C66" s="85"/>
      <c r="D66" s="84"/>
      <c r="E66" s="89"/>
      <c r="F66" s="84"/>
      <c r="G66" s="99"/>
      <c r="H66" s="12"/>
      <c r="I66" s="140"/>
      <c r="J66" s="98"/>
    </row>
    <row r="67" spans="1:13" s="87" customFormat="1" ht="14.25" x14ac:dyDescent="0.25">
      <c r="A67" s="12">
        <v>2100</v>
      </c>
      <c r="B67" s="84" t="str">
        <f t="shared" si="18"/>
        <v xml:space="preserve">            </v>
      </c>
      <c r="C67" s="85"/>
      <c r="D67" s="84"/>
      <c r="E67" s="89"/>
      <c r="F67" s="84"/>
      <c r="G67" s="99"/>
      <c r="H67" s="12"/>
      <c r="I67" s="140"/>
      <c r="J67" s="98"/>
    </row>
    <row r="68" spans="1:13" s="87" customFormat="1" ht="14.25" x14ac:dyDescent="0.25">
      <c r="A68" s="12">
        <v>2100</v>
      </c>
      <c r="B68" s="84" t="str">
        <f t="shared" si="18"/>
        <v xml:space="preserve">            </v>
      </c>
      <c r="C68" s="85"/>
      <c r="D68" s="84"/>
      <c r="E68" s="89"/>
      <c r="F68" s="84"/>
      <c r="G68" s="99"/>
      <c r="H68" s="12"/>
      <c r="I68" s="140"/>
      <c r="J68" s="98"/>
    </row>
    <row r="69" spans="1:13" s="87" customFormat="1" ht="15" x14ac:dyDescent="0.25">
      <c r="A69" s="12"/>
      <c r="B69" s="84"/>
      <c r="C69" s="115"/>
      <c r="D69" s="84"/>
      <c r="E69" s="89"/>
      <c r="F69" s="84"/>
      <c r="G69" s="99"/>
      <c r="H69" s="12"/>
      <c r="I69" s="140"/>
      <c r="J69" s="98"/>
    </row>
    <row r="70" spans="1:13" s="87" customFormat="1" ht="14.25" x14ac:dyDescent="0.25">
      <c r="A70" s="12">
        <v>2100</v>
      </c>
      <c r="B70" s="84" t="str">
        <f t="shared" si="18"/>
        <v xml:space="preserve">            </v>
      </c>
      <c r="C70" s="85"/>
      <c r="D70" s="84"/>
      <c r="E70" s="89"/>
      <c r="F70" s="84"/>
      <c r="G70" s="99"/>
      <c r="H70" s="12"/>
      <c r="I70" s="140"/>
      <c r="J70" s="98"/>
    </row>
    <row r="71" spans="1:13" s="87" customFormat="1" ht="14.25" x14ac:dyDescent="0.25">
      <c r="A71" s="12">
        <v>2100</v>
      </c>
      <c r="B71" s="84" t="str">
        <f>CONCATENATE(C71,"   ",D71,"   ",E71,"   ",F71,"   ",G71)</f>
        <v xml:space="preserve">            </v>
      </c>
      <c r="C71" s="85"/>
      <c r="D71" s="84"/>
      <c r="E71" s="89"/>
      <c r="F71" s="84"/>
      <c r="G71" s="99"/>
      <c r="H71" s="12"/>
      <c r="I71" s="140"/>
      <c r="J71" s="98"/>
    </row>
    <row r="72" spans="1:13" s="87" customFormat="1" ht="14.25" x14ac:dyDescent="0.25">
      <c r="A72" s="12">
        <v>2100</v>
      </c>
      <c r="B72" s="84" t="str">
        <f t="shared" si="18"/>
        <v xml:space="preserve">            </v>
      </c>
      <c r="C72" s="85"/>
      <c r="D72" s="84"/>
      <c r="E72" s="89"/>
      <c r="F72" s="84"/>
      <c r="G72" s="99"/>
      <c r="H72" s="12"/>
      <c r="I72" s="140"/>
      <c r="J72" s="98"/>
    </row>
    <row r="73" spans="1:13" s="87" customFormat="1" ht="14.25" x14ac:dyDescent="0.25">
      <c r="A73" s="12">
        <v>2100</v>
      </c>
      <c r="B73" s="84" t="str">
        <f t="shared" si="18"/>
        <v xml:space="preserve">            </v>
      </c>
      <c r="C73" s="85"/>
      <c r="D73" s="84"/>
      <c r="E73" s="89"/>
      <c r="F73" s="84"/>
      <c r="G73" s="99"/>
      <c r="H73" s="12"/>
      <c r="I73" s="140"/>
      <c r="J73" s="98"/>
    </row>
    <row r="74" spans="1:13" s="87" customFormat="1" ht="14.25" x14ac:dyDescent="0.25">
      <c r="A74" s="12">
        <v>2100</v>
      </c>
      <c r="B74" s="84" t="str">
        <f t="shared" si="18"/>
        <v xml:space="preserve">            </v>
      </c>
      <c r="C74" s="85"/>
      <c r="D74" s="84"/>
      <c r="E74" s="89"/>
      <c r="F74" s="84"/>
      <c r="G74" s="99"/>
      <c r="H74" s="12"/>
      <c r="I74" s="140"/>
      <c r="J74" s="98"/>
    </row>
    <row r="75" spans="1:13" s="87" customFormat="1" ht="15" x14ac:dyDescent="0.25">
      <c r="A75" s="12">
        <v>2100</v>
      </c>
      <c r="B75" s="84" t="str">
        <f>CONCATENATE(C75,"   ",D75,"   ",E75,"   ",F75,"   ",G75)</f>
        <v xml:space="preserve">            </v>
      </c>
      <c r="C75" s="115"/>
      <c r="D75" s="84"/>
      <c r="E75" s="89"/>
      <c r="F75" s="84"/>
      <c r="G75" s="99"/>
      <c r="H75" s="12"/>
      <c r="I75" s="140"/>
      <c r="J75" s="98"/>
    </row>
    <row r="76" spans="1:13" s="87" customFormat="1" ht="14.25" x14ac:dyDescent="0.25">
      <c r="A76" s="12"/>
      <c r="B76" s="84"/>
      <c r="C76" s="85"/>
      <c r="D76" s="84"/>
      <c r="E76" s="89"/>
      <c r="F76" s="84"/>
      <c r="G76" s="99"/>
      <c r="H76" s="12"/>
      <c r="I76" s="140"/>
      <c r="J76" s="98"/>
    </row>
    <row r="77" spans="1:13" s="87" customFormat="1" ht="14.25" x14ac:dyDescent="0.25">
      <c r="A77" s="12"/>
      <c r="B77" s="84"/>
      <c r="C77" s="86"/>
      <c r="D77" s="84"/>
      <c r="E77" s="89"/>
      <c r="F77" s="84"/>
      <c r="G77" s="99"/>
      <c r="H77" s="12"/>
      <c r="I77" s="140"/>
      <c r="J77" s="98"/>
    </row>
    <row r="78" spans="1:13" ht="14.25" x14ac:dyDescent="0.25">
      <c r="A78" s="12">
        <v>2100</v>
      </c>
      <c r="B78" s="84" t="str">
        <f t="shared" si="18"/>
        <v xml:space="preserve">            </v>
      </c>
      <c r="C78" s="85"/>
      <c r="D78" s="84"/>
      <c r="E78" s="89"/>
      <c r="F78" s="84"/>
      <c r="G78" s="99"/>
      <c r="I78" s="140"/>
      <c r="J78" s="98"/>
    </row>
    <row r="79" spans="1:13" ht="14.25" x14ac:dyDescent="0.25">
      <c r="A79" s="12">
        <v>2100</v>
      </c>
      <c r="B79" s="84" t="str">
        <f t="shared" si="18"/>
        <v xml:space="preserve">            </v>
      </c>
      <c r="C79" s="85"/>
      <c r="D79" s="84"/>
      <c r="E79" s="89"/>
      <c r="F79" s="84"/>
      <c r="G79" s="99"/>
      <c r="I79" s="140"/>
      <c r="J79" s="98"/>
    </row>
    <row r="80" spans="1:13" ht="14.25" x14ac:dyDescent="0.25">
      <c r="A80" s="12">
        <v>2100</v>
      </c>
      <c r="B80" s="84" t="str">
        <f t="shared" si="18"/>
        <v xml:space="preserve">            </v>
      </c>
      <c r="C80" s="85"/>
      <c r="D80" s="84"/>
      <c r="E80" s="89"/>
      <c r="F80" s="84"/>
      <c r="G80" s="99"/>
      <c r="I80" s="140"/>
      <c r="J80" s="98"/>
    </row>
    <row r="81" spans="1:10" ht="14.25" x14ac:dyDescent="0.25">
      <c r="A81" s="12">
        <v>2100</v>
      </c>
      <c r="B81" s="84" t="str">
        <f t="shared" si="18"/>
        <v xml:space="preserve">            </v>
      </c>
      <c r="C81" s="85"/>
      <c r="D81" s="84"/>
      <c r="E81" s="89"/>
      <c r="F81" s="84"/>
      <c r="G81" s="99"/>
      <c r="I81" s="140"/>
      <c r="J81" s="98"/>
    </row>
    <row r="82" spans="1:10" ht="14.25" x14ac:dyDescent="0.25">
      <c r="A82" s="12">
        <v>2100</v>
      </c>
      <c r="B82" s="84" t="str">
        <f t="shared" si="18"/>
        <v xml:space="preserve">            </v>
      </c>
      <c r="C82" s="85"/>
      <c r="D82" s="84"/>
      <c r="E82" s="89"/>
      <c r="F82" s="84"/>
      <c r="G82" s="99"/>
      <c r="I82" s="140"/>
      <c r="J82" s="98"/>
    </row>
    <row r="83" spans="1:10" ht="14.25" x14ac:dyDescent="0.25">
      <c r="A83" s="12">
        <v>2100</v>
      </c>
      <c r="B83" s="84" t="str">
        <f t="shared" si="18"/>
        <v xml:space="preserve">            </v>
      </c>
      <c r="C83" s="85"/>
      <c r="D83" s="84"/>
      <c r="E83" s="89"/>
      <c r="F83" s="84"/>
      <c r="G83" s="99"/>
      <c r="I83" s="140"/>
      <c r="J83" s="98"/>
    </row>
    <row r="84" spans="1:10" ht="14.25" x14ac:dyDescent="0.25">
      <c r="B84" s="84"/>
      <c r="C84" s="85"/>
      <c r="D84" s="84"/>
      <c r="E84" s="89"/>
      <c r="F84" s="84"/>
      <c r="G84" s="99"/>
      <c r="I84" s="140" t="str" cm="1">
        <f t="array" ref="I84">IF(B84="","",SUM(_xlfn._xlws.FILTER(Parametres!H$1:H$257, (Parametres!C$1:C$257=E84) + (Parametres!C$1:C$257=G84) + (Parametres!C$1:C$257=F84) + (Parametres!C$1:C$257=C84))))</f>
        <v/>
      </c>
      <c r="J84" s="98"/>
    </row>
    <row r="85" spans="1:10" ht="14.25" x14ac:dyDescent="0.25">
      <c r="B85" s="84"/>
      <c r="C85" s="85"/>
      <c r="D85" s="84"/>
      <c r="E85" s="89"/>
      <c r="F85" s="84"/>
      <c r="G85" s="99"/>
      <c r="I85" s="140" t="str" cm="1">
        <f t="array" ref="I85">IF(B85="","",SUM(_xlfn._xlws.FILTER(Parametres!H$1:H$257, (Parametres!C$1:C$257=E85) + (Parametres!C$1:C$257=G85) + (Parametres!C$1:C$257=F85) + (Parametres!C$1:C$257=C85))))</f>
        <v/>
      </c>
      <c r="J85" s="98"/>
    </row>
    <row r="86" spans="1:10" ht="14.25" x14ac:dyDescent="0.25">
      <c r="B86" s="84"/>
      <c r="C86" s="84"/>
      <c r="D86" s="84"/>
      <c r="E86" s="85"/>
      <c r="F86" s="84"/>
      <c r="G86" s="99"/>
      <c r="H86" s="10"/>
      <c r="I86" s="140" t="str" cm="1">
        <f t="array" ref="I86">IF(B86="","",SUM(_xlfn._xlws.FILTER(Parametres!H$1:H$257, (Parametres!C$1:C$257=E86) + (Parametres!C$1:C$257=G86) + (Parametres!C$1:C$257=F86) + (Parametres!C$1:C$257=C86))))</f>
        <v/>
      </c>
      <c r="J86" s="98"/>
    </row>
    <row r="87" spans="1:10" ht="14.25" x14ac:dyDescent="0.25">
      <c r="B87" s="84"/>
      <c r="C87" s="84"/>
      <c r="D87" s="84"/>
      <c r="E87" s="85"/>
      <c r="F87" s="84"/>
      <c r="G87" s="99"/>
      <c r="H87" s="10"/>
      <c r="I87" s="140" t="str" cm="1">
        <f t="array" ref="I87">IF(B87="","",SUM(_xlfn._xlws.FILTER(Parametres!H$1:H$257, (Parametres!C$1:C$257=E87) + (Parametres!C$1:C$257=G87) + (Parametres!C$1:C$257=F87) + (Parametres!C$1:C$257=C87))))</f>
        <v/>
      </c>
      <c r="J87" s="98"/>
    </row>
    <row r="88" spans="1:10" ht="14.25" x14ac:dyDescent="0.25">
      <c r="B88" s="84"/>
      <c r="C88" s="85"/>
      <c r="D88" s="84"/>
      <c r="E88" s="89"/>
      <c r="F88" s="84"/>
      <c r="G88" s="99"/>
      <c r="I88" s="140" t="str" cm="1">
        <f t="array" ref="I88">IF(B88="","",SUM(_xlfn._xlws.FILTER(Parametres!H$1:H$257, (Parametres!C$1:C$257=E88) + (Parametres!C$1:C$257=G88) + (Parametres!C$1:C$257=F88) + (Parametres!C$1:C$257=C88))))</f>
        <v/>
      </c>
      <c r="J88" s="98"/>
    </row>
    <row r="89" spans="1:10" ht="14.25" x14ac:dyDescent="0.25">
      <c r="B89" s="84"/>
      <c r="C89" s="85"/>
      <c r="D89" s="84"/>
      <c r="E89" s="89"/>
      <c r="F89" s="84"/>
      <c r="G89" s="99"/>
      <c r="I89" s="140" t="str" cm="1">
        <f t="array" ref="I89">IF(B89="","",SUM(_xlfn._xlws.FILTER(Parametres!H$1:H$257, (Parametres!C$1:C$257=E89) + (Parametres!C$1:C$257=G89) + (Parametres!C$1:C$257=F89) + (Parametres!C$1:C$257=C89))))</f>
        <v/>
      </c>
      <c r="J89" s="98"/>
    </row>
    <row r="90" spans="1:10" ht="14.25" x14ac:dyDescent="0.25">
      <c r="B90" s="84"/>
      <c r="C90" s="85"/>
      <c r="D90" s="84"/>
      <c r="E90" s="85"/>
      <c r="F90" s="84"/>
      <c r="G90" s="99"/>
      <c r="I90" s="140" t="str" cm="1">
        <f t="array" ref="I90">IF(B90="","",SUM(_xlfn._xlws.FILTER(Parametres!H$1:H$257, (Parametres!C$1:C$257=E90) + (Parametres!C$1:C$257=G90) + (Parametres!C$1:C$257=F90) + (Parametres!C$1:C$257=C90))))</f>
        <v/>
      </c>
      <c r="J90" s="98"/>
    </row>
    <row r="91" spans="1:10" ht="14.25" x14ac:dyDescent="0.25">
      <c r="B91" s="84"/>
      <c r="C91" s="113"/>
      <c r="D91" s="84"/>
      <c r="E91" s="89"/>
      <c r="F91" s="84"/>
      <c r="G91" s="99"/>
      <c r="I91" s="140" t="str" cm="1">
        <f t="array" ref="I91">IF(B91="","",SUM(_xlfn._xlws.FILTER(Parametres!H$1:H$257, (Parametres!C$1:C$257=E91) + (Parametres!C$1:C$257=G91) + (Parametres!C$1:C$257=F91) + (Parametres!C$1:C$257=C91))))</f>
        <v/>
      </c>
      <c r="J91" s="98"/>
    </row>
    <row r="92" spans="1:10" ht="14.25" x14ac:dyDescent="0.25">
      <c r="B92" s="84"/>
      <c r="C92" s="113"/>
      <c r="D92" s="84"/>
      <c r="E92" s="89"/>
      <c r="F92" s="84"/>
      <c r="G92" s="99"/>
      <c r="I92" s="140" t="str" cm="1">
        <f t="array" ref="I92">IF(B92="","",SUM(_xlfn._xlws.FILTER(Parametres!H$1:H$257, (Parametres!C$1:C$257=E92) + (Parametres!C$1:C$257=G92) + (Parametres!C$1:C$257=F92) + (Parametres!C$1:C$257=C92))))</f>
        <v/>
      </c>
      <c r="J92" s="98"/>
    </row>
    <row r="93" spans="1:10" x14ac:dyDescent="0.25">
      <c r="B93" s="84"/>
      <c r="C93" s="113"/>
      <c r="D93" s="84"/>
      <c r="E93" s="89"/>
      <c r="F93" s="84"/>
      <c r="G93" s="85"/>
      <c r="I93" s="140" t="str" cm="1">
        <f t="array" ref="I93">IF(B93="","",SUM(_xlfn._xlws.FILTER(Parametres!H$1:H$257, (Parametres!C$1:C$257=E93) + (Parametres!C$1:C$257=G93) + (Parametres!C$1:C$257=F93) + (Parametres!C$1:C$257=C93))))</f>
        <v/>
      </c>
      <c r="J93" s="98"/>
    </row>
    <row r="94" spans="1:10" x14ac:dyDescent="0.25">
      <c r="I94" s="140" t="str" cm="1">
        <f t="array" ref="I94">IF(B94="","",SUM(_xlfn._xlws.FILTER(Parametres!H$1:H$257, (Parametres!C$1:C$257=E94) + (Parametres!C$1:C$257=G94) + (Parametres!C$1:C$257=F94) + (Parametres!C$1:C$257=C94))))</f>
        <v/>
      </c>
      <c r="J94" s="98" t="e">
        <f>I94+0.06</f>
        <v>#VALUE!</v>
      </c>
    </row>
    <row r="95" spans="1:10" ht="14.25" x14ac:dyDescent="0.25">
      <c r="B95" s="84"/>
      <c r="C95" s="84"/>
      <c r="D95" s="84"/>
      <c r="E95" s="89"/>
      <c r="F95" s="84"/>
      <c r="G95" s="99"/>
      <c r="I95" s="140" t="str" cm="1">
        <f t="array" ref="I95">IF(B95="","",SUM(_xlfn._xlws.FILTER(Parametres!H$1:H$257, (Parametres!C$1:C$257=E95) + (Parametres!C$1:C$257=G95) + (Parametres!C$1:C$257=F95) + (Parametres!C$1:C$257=C95))))</f>
        <v/>
      </c>
      <c r="J95" s="98"/>
    </row>
    <row r="96" spans="1:10" ht="14.25" x14ac:dyDescent="0.25">
      <c r="B96" s="84"/>
      <c r="C96" s="84"/>
      <c r="D96" s="84"/>
      <c r="E96" s="89"/>
      <c r="F96" s="84"/>
      <c r="G96" s="99"/>
      <c r="I96" s="140" t="str" cm="1">
        <f t="array" ref="I96">IF(B96="","",SUM(_xlfn._xlws.FILTER(Parametres!H$1:H$257, (Parametres!C$1:C$257=E96) + (Parametres!C$1:C$257=G96) + (Parametres!C$1:C$257=F96) + (Parametres!C$1:C$257=C96))))</f>
        <v/>
      </c>
      <c r="J96" s="98"/>
    </row>
    <row r="97" spans="1:10" ht="14.25" x14ac:dyDescent="0.25">
      <c r="B97" s="84"/>
      <c r="C97" s="84"/>
      <c r="D97" s="84"/>
      <c r="E97" s="89"/>
      <c r="F97" s="84"/>
      <c r="G97" s="99"/>
      <c r="I97" s="140" t="str" cm="1">
        <f t="array" ref="I97">IF(B97="","",SUM(_xlfn._xlws.FILTER(Parametres!H$1:H$257, (Parametres!C$1:C$257=E97) + (Parametres!C$1:C$257=G97) + (Parametres!C$1:C$257=F97) + (Parametres!C$1:C$257=C97))))</f>
        <v/>
      </c>
      <c r="J97" s="98"/>
    </row>
    <row r="98" spans="1:10" ht="14.25" x14ac:dyDescent="0.25">
      <c r="B98" s="84"/>
      <c r="C98" s="85"/>
      <c r="D98" s="84"/>
      <c r="E98" s="89"/>
      <c r="F98" s="84"/>
      <c r="G98" s="99"/>
      <c r="I98" s="140" t="str" cm="1">
        <f t="array" ref="I98">IF(B98="","",SUM(_xlfn._xlws.FILTER(Parametres!H$1:H$257, (Parametres!C$1:C$257=E98) + (Parametres!C$1:C$257=G98) + (Parametres!C$1:C$257=F98) + (Parametres!C$1:C$257=C98))))</f>
        <v/>
      </c>
      <c r="J98" s="98"/>
    </row>
    <row r="99" spans="1:10" ht="14.25" x14ac:dyDescent="0.25">
      <c r="B99" s="84"/>
      <c r="C99" s="84"/>
      <c r="D99" s="84"/>
      <c r="E99" s="89"/>
      <c r="F99" s="84"/>
      <c r="G99" s="99"/>
      <c r="I99" s="140" t="str" cm="1">
        <f t="array" ref="I99">IF(B99="","",SUM(_xlfn._xlws.FILTER(Parametres!H$1:H$257, (Parametres!C$1:C$257=E99) + (Parametres!C$1:C$257=G99) + (Parametres!C$1:C$257=F99) + (Parametres!C$1:C$257=C99))))</f>
        <v/>
      </c>
      <c r="J99" s="98"/>
    </row>
    <row r="100" spans="1:10" ht="14.25" x14ac:dyDescent="0.25">
      <c r="B100" s="84"/>
      <c r="C100" s="84"/>
      <c r="D100" s="84"/>
      <c r="E100" s="89"/>
      <c r="F100" s="84"/>
      <c r="G100" s="99"/>
      <c r="I100" s="140" t="str" cm="1">
        <f t="array" ref="I100">IF(B100="","",SUM(_xlfn._xlws.FILTER(Parametres!H$1:H$257, (Parametres!C$1:C$257=E100) + (Parametres!C$1:C$257=G100) + (Parametres!C$1:C$257=F100) + (Parametres!C$1:C$257=C100))))</f>
        <v/>
      </c>
      <c r="J100" s="98"/>
    </row>
    <row r="101" spans="1:10" ht="15" x14ac:dyDescent="0.25">
      <c r="B101" s="84"/>
      <c r="C101"/>
      <c r="D101" s="84"/>
      <c r="E101" s="89"/>
      <c r="F101" s="84"/>
      <c r="G101" s="99"/>
      <c r="I101" s="140" t="str" cm="1">
        <f t="array" ref="I101">IF(B101="","",SUM(_xlfn._xlws.FILTER(Parametres!H$1:H$257, (Parametres!C$1:C$257=E101) + (Parametres!C$1:C$257=G101) + (Parametres!C$1:C$257=F101) + (Parametres!C$1:C$257=C101))))</f>
        <v/>
      </c>
      <c r="J101" s="98"/>
    </row>
    <row r="102" spans="1:10" ht="14.25" x14ac:dyDescent="0.25">
      <c r="A102" s="12">
        <v>2100</v>
      </c>
      <c r="B102" s="84" t="str">
        <f>CONCATENATE(C102,"   ",D102,"   ",E102,"   ",F102,"   ",G102)</f>
        <v>Foliset 100 µ   Permanent   2021/19   Sans Silicone   Glassine 58 g sil./Itasa Prix en Baisse</v>
      </c>
      <c r="C102" s="85" t="s">
        <v>47</v>
      </c>
      <c r="D102" s="84" t="s">
        <v>5</v>
      </c>
      <c r="E102" s="89" t="s">
        <v>64</v>
      </c>
      <c r="F102" s="84" t="s">
        <v>27</v>
      </c>
      <c r="G102" s="99" t="s">
        <v>89</v>
      </c>
      <c r="I102" s="140" cm="1">
        <f t="array" ref="I102">IF(B102="","",SUM(_xlfn._xlws.FILTER(Parametres!H$1:H$257, (Parametres!C$1:C$257=E102) + (Parametres!C$1:C$257=G102) + (Parametres!C$1:C$257=F102) + (Parametres!C$1:C$257=C102))))</f>
        <v>0.14799999999999999</v>
      </c>
      <c r="J102" s="98">
        <f>I102+0.06</f>
        <v>0.20799999999999999</v>
      </c>
    </row>
    <row r="103" spans="1:10" x14ac:dyDescent="0.25">
      <c r="B103" s="84" t="str">
        <f>CONCATENATE(C103,"   ",D103,"   ",E103,"   ",F103,"   ",G103)</f>
        <v xml:space="preserve">            </v>
      </c>
      <c r="C103" s="84"/>
      <c r="D103" s="84"/>
      <c r="E103" s="89"/>
      <c r="F103" s="84"/>
      <c r="G103" s="85"/>
      <c r="I103" s="140" cm="1">
        <f t="array" ref="I103">IF(B103="","",SUM(_xlfn._xlws.FILTER(Parametres!H$1:H$257, (Parametres!C$1:C$257=E103) + (Parametres!C$1:C$257=G103) + (Parametres!C$1:C$257=F103) + (Parametres!C$1:C$257=C103))))</f>
        <v>0</v>
      </c>
      <c r="J103" s="98">
        <f>I103+0.06</f>
        <v>0.06</v>
      </c>
    </row>
    <row r="104" spans="1:10" ht="14.25" x14ac:dyDescent="0.25">
      <c r="B104" s="84"/>
      <c r="C104" s="103"/>
      <c r="D104" s="84"/>
      <c r="E104" s="89"/>
      <c r="F104" s="84"/>
      <c r="G104" s="86"/>
      <c r="I104" s="140" t="str" cm="1">
        <f t="array" ref="I104">IF(B104="","",SUM(_xlfn._xlws.FILTER(Parametres!H$1:H$257, (Parametres!C$1:C$257=E104) + (Parametres!C$1:C$257=G104) + (Parametres!C$1:C$257=F104) + (Parametres!C$1:C$257=C104))))</f>
        <v/>
      </c>
      <c r="J104" s="98"/>
    </row>
    <row r="105" spans="1:10" ht="14.25" x14ac:dyDescent="0.25">
      <c r="B105" s="84"/>
      <c r="C105" s="103"/>
      <c r="D105" s="84"/>
      <c r="E105" s="89"/>
      <c r="F105" s="84"/>
      <c r="G105" s="85"/>
      <c r="I105" s="140" t="str" cm="1">
        <f t="array" ref="I105">IF(B105="","",SUM(_xlfn._xlws.FILTER(Parametres!H$1:H$257, (Parametres!C$1:C$257=E105) + (Parametres!C$1:C$257=G105) + (Parametres!C$1:C$257=F105) + (Parametres!C$1:C$257=C105))))</f>
        <v/>
      </c>
      <c r="J105" s="98"/>
    </row>
    <row r="106" spans="1:10" ht="14.25" x14ac:dyDescent="0.25">
      <c r="B106" s="84"/>
      <c r="C106" s="86"/>
      <c r="D106" s="84"/>
      <c r="E106" s="89"/>
      <c r="F106" s="84"/>
      <c r="G106" s="85"/>
      <c r="I106" s="140" t="str" cm="1">
        <f t="array" ref="I106">IF(B106="","",SUM(_xlfn._xlws.FILTER(Parametres!H$1:H$257, (Parametres!C$1:C$257=E106) + (Parametres!C$1:C$257=G106) + (Parametres!C$1:C$257=F106) + (Parametres!C$1:C$257=C106))))</f>
        <v/>
      </c>
      <c r="J106" s="98"/>
    </row>
    <row r="107" spans="1:10" ht="14.25" x14ac:dyDescent="0.25">
      <c r="B107" s="84"/>
      <c r="C107" s="86"/>
      <c r="D107" s="84"/>
      <c r="E107" s="89"/>
      <c r="F107" s="84"/>
      <c r="G107" s="85"/>
      <c r="I107" s="140" t="str" cm="1">
        <f t="array" ref="I107">IF(B107="","",SUM(_xlfn._xlws.FILTER(Parametres!H$1:H$257, (Parametres!C$1:C$257=E107) + (Parametres!C$1:C$257=G107) + (Parametres!C$1:C$257=F107) + (Parametres!C$1:C$257=C107))))</f>
        <v/>
      </c>
      <c r="J107" s="98"/>
    </row>
    <row r="108" spans="1:10" ht="12" x14ac:dyDescent="0.25">
      <c r="B108" s="84"/>
      <c r="C108" s="104"/>
      <c r="D108" s="84"/>
      <c r="E108" s="89"/>
      <c r="F108" s="84"/>
      <c r="G108" s="85"/>
      <c r="I108" s="140" t="str" cm="1">
        <f t="array" ref="I108">IF(B108="","",SUM(_xlfn._xlws.FILTER(Parametres!H$1:H$257, (Parametres!C$1:C$257=E108) + (Parametres!C$1:C$257=G108) + (Parametres!C$1:C$257=F108) + (Parametres!C$1:C$257=C108))))</f>
        <v/>
      </c>
      <c r="J108" s="98"/>
    </row>
    <row r="109" spans="1:10" ht="12" x14ac:dyDescent="0.25">
      <c r="B109" s="84"/>
      <c r="C109" s="104"/>
      <c r="D109" s="84"/>
      <c r="E109" s="89"/>
      <c r="F109" s="84"/>
      <c r="G109" s="85"/>
      <c r="I109" s="140" t="str" cm="1">
        <f t="array" ref="I109">IF(B109="","",SUM(_xlfn._xlws.FILTER(Parametres!H$1:H$257, (Parametres!C$1:C$257=E109) + (Parametres!C$1:C$257=G109) + (Parametres!C$1:C$257=F109) + (Parametres!C$1:C$257=C109))))</f>
        <v/>
      </c>
      <c r="J109" s="98"/>
    </row>
    <row r="110" spans="1:10" ht="14.25" x14ac:dyDescent="0.25">
      <c r="B110" s="84"/>
      <c r="C110" s="86"/>
      <c r="D110" s="84"/>
      <c r="E110" s="89"/>
      <c r="F110" s="84"/>
      <c r="G110" s="112"/>
      <c r="I110" s="140" t="str" cm="1">
        <f t="array" ref="I110">IF(B110="","",SUM(_xlfn._xlws.FILTER(Parametres!H$1:H$257, (Parametres!C$1:C$257=E110) + (Parametres!C$1:C$257=G110) + (Parametres!C$1:C$257=F110) + (Parametres!C$1:C$257=C110))))</f>
        <v/>
      </c>
      <c r="J110" s="98"/>
    </row>
    <row r="111" spans="1:10" x14ac:dyDescent="0.25">
      <c r="B111" s="84"/>
      <c r="I111" s="140" t="str" cm="1">
        <f t="array" ref="I111">IF(B111="","",SUM(_xlfn._xlws.FILTER(Parametres!H$1:H$257, (Parametres!C$1:C$257=E111) + (Parametres!C$1:C$257=G111) + (Parametres!C$1:C$257=F111) + (Parametres!C$1:C$257=C111))))</f>
        <v/>
      </c>
      <c r="J111" s="98"/>
    </row>
    <row r="112" spans="1:10" ht="14.25" x14ac:dyDescent="0.25">
      <c r="B112" s="84"/>
      <c r="C112" s="102"/>
      <c r="D112" s="84"/>
      <c r="E112" s="89"/>
      <c r="F112" s="84"/>
      <c r="G112" s="85"/>
      <c r="I112" s="140" t="str" cm="1">
        <f t="array" ref="I112">IF(B112="","",SUM(_xlfn._xlws.FILTER(Parametres!H$1:H$257, (Parametres!C$1:C$257=E112) + (Parametres!C$1:C$257=G112) + (Parametres!C$1:C$257=F112) + (Parametres!C$1:C$257=C112))))</f>
        <v/>
      </c>
      <c r="J112" s="98"/>
    </row>
    <row r="113" spans="1:9" ht="14.25" x14ac:dyDescent="0.25">
      <c r="A113" s="12">
        <v>2100</v>
      </c>
      <c r="B113" s="84" t="str">
        <f>CONCATENATE(C113,"   ",D113,"   ",E113,"   ",F113,"   ",G113)</f>
        <v>Jet d'encre   Permanent    2021/20   sans silicone   Glassine 60 g siliconée /MONDI</v>
      </c>
      <c r="C113" s="102" t="s">
        <v>114</v>
      </c>
      <c r="D113" s="84" t="s">
        <v>75</v>
      </c>
      <c r="E113" s="89" t="s">
        <v>113</v>
      </c>
      <c r="F113" s="84" t="s">
        <v>28</v>
      </c>
      <c r="G113" s="85" t="s">
        <v>63</v>
      </c>
      <c r="I113" s="140" cm="1">
        <f t="array" ref="I113">IF(B113="","",SUM(_xlfn._xlws.FILTER(Parametres!H$1:H$257, (Parametres!C$1:C$257=E113) + (Parametres!C$1:C$257=G113) + (Parametres!C$1:C$257=F113) + (Parametres!C$1:C$257=C113))))</f>
        <v>0</v>
      </c>
    </row>
    <row r="114" spans="1:9" x14ac:dyDescent="0.25">
      <c r="I114" s="140" t="str" cm="1">
        <f t="array" ref="I114">IF(B114="","",SUM(_xlfn._xlws.FILTER(Parametres!H$1:H$257, (Parametres!C$1:C$257=E114) + (Parametres!C$1:C$257=G114) + (Parametres!C$1:C$257=F114) + (Parametres!C$1:C$257=C114))))</f>
        <v/>
      </c>
    </row>
    <row r="115" spans="1:9" x14ac:dyDescent="0.25">
      <c r="I115" s="140" t="str" cm="1">
        <f t="array" ref="I115">IF(B115="","",SUM(_xlfn._xlws.FILTER(Parametres!H$1:H$257, (Parametres!C$1:C$257=E115) + (Parametres!C$1:C$257=G115) + (Parametres!C$1:C$257=F115) + (Parametres!C$1:C$257=C115))))</f>
        <v/>
      </c>
    </row>
    <row r="116" spans="1:9" x14ac:dyDescent="0.25">
      <c r="I116" s="140" t="str" cm="1">
        <f t="array" ref="I116">IF(B116="","",SUM(_xlfn._xlws.FILTER(Parametres!H$1:H$257, (Parametres!C$1:C$257=E116) + (Parametres!C$1:C$257=G116) + (Parametres!C$1:C$257=F116) + (Parametres!C$1:C$257=C116))))</f>
        <v/>
      </c>
    </row>
    <row r="117" spans="1:9" x14ac:dyDescent="0.25">
      <c r="I117" s="140" t="str" cm="1">
        <f t="array" ref="I117">IF(B117="","",SUM(_xlfn._xlws.FILTER(Parametres!H$1:H$257, (Parametres!C$1:C$257=E117) + (Parametres!C$1:C$257=G117) + (Parametres!C$1:C$257=F117) + (Parametres!C$1:C$257=C117))))</f>
        <v/>
      </c>
    </row>
    <row r="118" spans="1:9" x14ac:dyDescent="0.25">
      <c r="I118" s="140" t="str" cm="1">
        <f t="array" ref="I118">IF(B118="","",SUM(_xlfn._xlws.FILTER(Parametres!H$1:H$257, (Parametres!C$1:C$257=E118) + (Parametres!C$1:C$257=G118) + (Parametres!C$1:C$257=F118) + (Parametres!C$1:C$257=C118))))</f>
        <v/>
      </c>
    </row>
    <row r="119" spans="1:9" x14ac:dyDescent="0.25">
      <c r="I119" s="140" t="str" cm="1">
        <f t="array" ref="I119">IF(B119="","",SUM(_xlfn._xlws.FILTER(Parametres!H$1:H$257, (Parametres!C$1:C$257=E119) + (Parametres!C$1:C$257=G119) + (Parametres!C$1:C$257=F119) + (Parametres!C$1:C$257=C119))))</f>
        <v/>
      </c>
    </row>
    <row r="120" spans="1:9" x14ac:dyDescent="0.25">
      <c r="I120" s="140" t="str" cm="1">
        <f t="array" ref="I120">IF(B120="","",SUM(_xlfn._xlws.FILTER(Parametres!H$1:H$257, (Parametres!C$1:C$257=E120) + (Parametres!C$1:C$257=G120) + (Parametres!C$1:C$257=F120) + (Parametres!C$1:C$257=C120))))</f>
        <v/>
      </c>
    </row>
    <row r="121" spans="1:9" x14ac:dyDescent="0.25">
      <c r="I121" s="140" t="str" cm="1">
        <f t="array" ref="I121">IF(B121="","",SUM(_xlfn._xlws.FILTER(Parametres!H$1:H$257, (Parametres!C$1:C$257=E121) + (Parametres!C$1:C$257=G121) + (Parametres!C$1:C$257=F121) + (Parametres!C$1:C$257=C121))))</f>
        <v/>
      </c>
    </row>
    <row r="122" spans="1:9" x14ac:dyDescent="0.25">
      <c r="I122" s="140" t="str" cm="1">
        <f t="array" ref="I122">IF(B122="","",SUM(_xlfn._xlws.FILTER(Parametres!H$1:H$257, (Parametres!C$1:C$257=E122) + (Parametres!C$1:C$257=G122) + (Parametres!C$1:C$257=F122) + (Parametres!C$1:C$257=C122))))</f>
        <v/>
      </c>
    </row>
    <row r="123" spans="1:9" x14ac:dyDescent="0.25">
      <c r="I123" s="140" t="str" cm="1">
        <f t="array" ref="I123">IF(B123="","",SUM(_xlfn._xlws.FILTER(Parametres!H$1:H$257, (Parametres!C$1:C$257=E123) + (Parametres!C$1:C$257=G123) + (Parametres!C$1:C$257=F123) + (Parametres!C$1:C$257=C123))))</f>
        <v/>
      </c>
    </row>
    <row r="124" spans="1:9" x14ac:dyDescent="0.25">
      <c r="I124" s="140" t="str" cm="1">
        <f t="array" ref="I124">IF(B124="","",SUM(_xlfn._xlws.FILTER(Parametres!H$1:H$257, (Parametres!C$1:C$257=E124) + (Parametres!C$1:C$257=G124) + (Parametres!C$1:C$257=F124) + (Parametres!C$1:C$257=C124))))</f>
        <v/>
      </c>
    </row>
    <row r="125" spans="1:9" x14ac:dyDescent="0.25">
      <c r="I125" s="140" t="str" cm="1">
        <f t="array" ref="I125">IF(B125="","",SUM(_xlfn._xlws.FILTER(Parametres!H$1:H$257, (Parametres!C$1:C$257=E125) + (Parametres!C$1:C$257=G125) + (Parametres!C$1:C$257=F125) + (Parametres!C$1:C$257=C125))))</f>
        <v/>
      </c>
    </row>
    <row r="126" spans="1:9" x14ac:dyDescent="0.25">
      <c r="I126" s="140" t="str" cm="1">
        <f t="array" ref="I126">IF(B126="","",SUM(_xlfn._xlws.FILTER(Parametres!H$1:H$257, (Parametres!C$1:C$257=E126) + (Parametres!C$1:C$257=G126) + (Parametres!C$1:C$257=F126) + (Parametres!C$1:C$257=C126))))</f>
        <v/>
      </c>
    </row>
    <row r="127" spans="1:9" x14ac:dyDescent="0.25">
      <c r="I127" s="140" t="str" cm="1">
        <f t="array" ref="I127">IF(B127="","",SUM(_xlfn._xlws.FILTER(Parametres!H$1:H$257, (Parametres!C$1:C$257=E127) + (Parametres!C$1:C$257=G127) + (Parametres!C$1:C$257=F127) + (Parametres!C$1:C$257=C127))))</f>
        <v/>
      </c>
    </row>
    <row r="128" spans="1:9" x14ac:dyDescent="0.25">
      <c r="I128" s="140" t="str" cm="1">
        <f t="array" ref="I128">IF(B128="","",SUM(_xlfn._xlws.FILTER(Parametres!H$1:H$257, (Parametres!C$1:C$257=E128) + (Parametres!C$1:C$257=G128) + (Parametres!C$1:C$257=F128) + (Parametres!C$1:C$257=C128))))</f>
        <v/>
      </c>
    </row>
    <row r="129" spans="9:9" x14ac:dyDescent="0.25">
      <c r="I129" s="140" t="str" cm="1">
        <f t="array" ref="I129">IF(B129="","",SUM(_xlfn._xlws.FILTER(Parametres!H$1:H$257, (Parametres!C$1:C$257=E129) + (Parametres!C$1:C$257=G129) + (Parametres!C$1:C$257=F129) + (Parametres!C$1:C$257=C129))))</f>
        <v/>
      </c>
    </row>
    <row r="130" spans="9:9" x14ac:dyDescent="0.25">
      <c r="I130" s="140" t="str" cm="1">
        <f t="array" ref="I130">IF(B130="","",SUM(_xlfn._xlws.FILTER(Parametres!H$1:H$257, (Parametres!C$1:C$257=E130) + (Parametres!C$1:C$257=G130) + (Parametres!C$1:C$257=F130) + (Parametres!C$1:C$257=C130))))</f>
        <v/>
      </c>
    </row>
    <row r="131" spans="9:9" x14ac:dyDescent="0.25">
      <c r="I131" s="140" t="str" cm="1">
        <f t="array" ref="I131">IF(B131="","",SUM(_xlfn._xlws.FILTER(Parametres!H$1:H$257, (Parametres!C$1:C$257=E131) + (Parametres!C$1:C$257=G131) + (Parametres!C$1:C$257=F131) + (Parametres!C$1:C$257=C131))))</f>
        <v/>
      </c>
    </row>
    <row r="132" spans="9:9" x14ac:dyDescent="0.25">
      <c r="I132" s="140" t="str" cm="1">
        <f t="array" ref="I132">IF(B132="","",SUM(_xlfn._xlws.FILTER(Parametres!H$1:H$257, (Parametres!C$1:C$257=E132) + (Parametres!C$1:C$257=G132) + (Parametres!C$1:C$257=F132) + (Parametres!C$1:C$257=C132))))</f>
        <v/>
      </c>
    </row>
    <row r="133" spans="9:9" x14ac:dyDescent="0.25">
      <c r="I133" s="140" t="str" cm="1">
        <f t="array" ref="I133">IF(B133="","",SUM(_xlfn._xlws.FILTER(Parametres!H$1:H$257, (Parametres!C$1:C$257=E133) + (Parametres!C$1:C$257=G133) + (Parametres!C$1:C$257=F133) + (Parametres!C$1:C$257=C133))))</f>
        <v/>
      </c>
    </row>
    <row r="134" spans="9:9" x14ac:dyDescent="0.25">
      <c r="I134" s="140" t="str" cm="1">
        <f t="array" ref="I134">IF(B134="","",SUM(_xlfn._xlws.FILTER(Parametres!H$1:H$257, (Parametres!C$1:C$257=E134) + (Parametres!C$1:C$257=G134) + (Parametres!C$1:C$257=F134) + (Parametres!C$1:C$257=C134))))</f>
        <v/>
      </c>
    </row>
    <row r="135" spans="9:9" x14ac:dyDescent="0.25">
      <c r="I135" s="140" t="str" cm="1">
        <f t="array" ref="I135">IF(B135="","",SUM(_xlfn._xlws.FILTER(Parametres!H$1:H$257, (Parametres!C$1:C$257=E135) + (Parametres!C$1:C$257=G135) + (Parametres!C$1:C$257=F135) + (Parametres!C$1:C$257=C135))))</f>
        <v/>
      </c>
    </row>
    <row r="136" spans="9:9" x14ac:dyDescent="0.25">
      <c r="I136" s="140" t="str" cm="1">
        <f t="array" ref="I136">IF(B136="","",SUM(_xlfn._xlws.FILTER(Parametres!H$1:H$257, (Parametres!C$1:C$257=E136) + (Parametres!C$1:C$257=G136) + (Parametres!C$1:C$257=F136) + (Parametres!C$1:C$257=C136))))</f>
        <v/>
      </c>
    </row>
    <row r="137" spans="9:9" x14ac:dyDescent="0.25">
      <c r="I137" s="140" t="str" cm="1">
        <f t="array" ref="I137">IF(B137="","",SUM(_xlfn._xlws.FILTER(Parametres!H$1:H$257, (Parametres!C$1:C$257=E137) + (Parametres!C$1:C$257=G137) + (Parametres!C$1:C$257=F137) + (Parametres!C$1:C$257=C137))))</f>
        <v/>
      </c>
    </row>
    <row r="138" spans="9:9" x14ac:dyDescent="0.25">
      <c r="I138" s="140" t="str" cm="1">
        <f t="array" ref="I138">IF(B138="","",SUM(_xlfn._xlws.FILTER(Parametres!H$1:H$257, (Parametres!C$1:C$257=E138) + (Parametres!C$1:C$257=G138) + (Parametres!C$1:C$257=F138) + (Parametres!C$1:C$257=C138))))</f>
        <v/>
      </c>
    </row>
    <row r="139" spans="9:9" x14ac:dyDescent="0.25">
      <c r="I139" s="140" t="str" cm="1">
        <f t="array" ref="I139">IF(B139="","",SUM(_xlfn._xlws.FILTER(Parametres!H$1:H$257, (Parametres!C$1:C$257=E139) + (Parametres!C$1:C$257=G139) + (Parametres!C$1:C$257=F139) + (Parametres!C$1:C$257=C139))))</f>
        <v/>
      </c>
    </row>
    <row r="140" spans="9:9" x14ac:dyDescent="0.25">
      <c r="I140" s="140" t="str" cm="1">
        <f t="array" ref="I140">IF(B140="","",SUM(_xlfn._xlws.FILTER(Parametres!H$1:H$257, (Parametres!C$1:C$257=E140) + (Parametres!C$1:C$257=G140) + (Parametres!C$1:C$257=F140) + (Parametres!C$1:C$257=C140))))</f>
        <v/>
      </c>
    </row>
    <row r="141" spans="9:9" x14ac:dyDescent="0.25">
      <c r="I141" s="140" t="str" cm="1">
        <f t="array" ref="I141">IF(B141="","",SUM(_xlfn._xlws.FILTER(Parametres!H$1:H$257, (Parametres!C$1:C$257=E141) + (Parametres!C$1:C$257=G141) + (Parametres!C$1:C$257=F141) + (Parametres!C$1:C$257=C141))))</f>
        <v/>
      </c>
    </row>
    <row r="142" spans="9:9" x14ac:dyDescent="0.25">
      <c r="I142" s="140" t="str" cm="1">
        <f t="array" ref="I142">IF(B142="","",SUM(_xlfn._xlws.FILTER(Parametres!H$1:H$257, (Parametres!C$1:C$257=E142) + (Parametres!C$1:C$257=G142) + (Parametres!C$1:C$257=F142) + (Parametres!C$1:C$257=C142))))</f>
        <v/>
      </c>
    </row>
    <row r="143" spans="9:9" x14ac:dyDescent="0.25">
      <c r="I143" s="140" t="str" cm="1">
        <f t="array" ref="I143">IF(B143="","",SUM(_xlfn._xlws.FILTER(Parametres!H$1:H$257, (Parametres!C$1:C$257=E143) + (Parametres!C$1:C$257=G143) + (Parametres!C$1:C$257=F143) + (Parametres!C$1:C$257=C143))))</f>
        <v/>
      </c>
    </row>
    <row r="144" spans="9:9" x14ac:dyDescent="0.25">
      <c r="I144" s="140" t="str" cm="1">
        <f t="array" ref="I144">IF(B144="","",SUM(_xlfn._xlws.FILTER(Parametres!H$1:H$257, (Parametres!C$1:C$257=E144) + (Parametres!C$1:C$257=G144) + (Parametres!C$1:C$257=F144) + (Parametres!C$1:C$257=C144))))</f>
        <v/>
      </c>
    </row>
    <row r="145" spans="9:9" x14ac:dyDescent="0.25">
      <c r="I145" s="140" t="str" cm="1">
        <f t="array" ref="I145">IF(B145="","",SUM(_xlfn._xlws.FILTER(Parametres!H$1:H$257, (Parametres!C$1:C$257=E145) + (Parametres!C$1:C$257=G145) + (Parametres!C$1:C$257=F145) + (Parametres!C$1:C$257=C145))))</f>
        <v/>
      </c>
    </row>
    <row r="146" spans="9:9" x14ac:dyDescent="0.25">
      <c r="I146" s="140" t="str" cm="1">
        <f t="array" ref="I146">IF(B146="","",SUM(_xlfn._xlws.FILTER(Parametres!H$1:H$257, (Parametres!C$1:C$257=E146) + (Parametres!C$1:C$257=G146) + (Parametres!C$1:C$257=F146) + (Parametres!C$1:C$257=C146))))</f>
        <v/>
      </c>
    </row>
    <row r="147" spans="9:9" x14ac:dyDescent="0.25">
      <c r="I147" s="140" t="str" cm="1">
        <f t="array" ref="I147">IF(B147="","",SUM(_xlfn._xlws.FILTER(Parametres!H$1:H$257, (Parametres!C$1:C$257=E147) + (Parametres!C$1:C$257=G147) + (Parametres!C$1:C$257=F147) + (Parametres!C$1:C$257=C147))))</f>
        <v/>
      </c>
    </row>
    <row r="148" spans="9:9" x14ac:dyDescent="0.25">
      <c r="I148" s="140" t="str" cm="1">
        <f t="array" ref="I148">IF(B148="","",SUM(_xlfn._xlws.FILTER(Parametres!H$1:H$257, (Parametres!C$1:C$257=E148) + (Parametres!C$1:C$257=G148) + (Parametres!C$1:C$257=F148) + (Parametres!C$1:C$257=C148))))</f>
        <v/>
      </c>
    </row>
    <row r="149" spans="9:9" x14ac:dyDescent="0.25">
      <c r="I149" s="140" t="str" cm="1">
        <f t="array" ref="I149">IF(B149="","",SUM(_xlfn._xlws.FILTER(Parametres!H$1:H$257, (Parametres!C$1:C$257=E149) + (Parametres!C$1:C$257=G149) + (Parametres!C$1:C$257=F149) + (Parametres!C$1:C$257=C149))))</f>
        <v/>
      </c>
    </row>
    <row r="150" spans="9:9" x14ac:dyDescent="0.25">
      <c r="I150" s="140" t="str" cm="1">
        <f t="array" ref="I150">IF(B150="","",SUM(_xlfn._xlws.FILTER(Parametres!H$1:H$257, (Parametres!C$1:C$257=E150) + (Parametres!C$1:C$257=G150) + (Parametres!C$1:C$257=F150) + (Parametres!C$1:C$257=C150))))</f>
        <v/>
      </c>
    </row>
    <row r="151" spans="9:9" x14ac:dyDescent="0.25">
      <c r="I151" s="140" t="str" cm="1">
        <f t="array" ref="I151">IF(B151="","",SUM(_xlfn._xlws.FILTER(Parametres!H$1:H$257, (Parametres!C$1:C$257=E151) + (Parametres!C$1:C$257=G151) + (Parametres!C$1:C$257=F151) + (Parametres!C$1:C$257=C151))))</f>
        <v/>
      </c>
    </row>
    <row r="152" spans="9:9" x14ac:dyDescent="0.25">
      <c r="I152" s="140" t="str" cm="1">
        <f t="array" ref="I152">IF(B152="","",SUM(_xlfn._xlws.FILTER(Parametres!H$1:H$257, (Parametres!C$1:C$257=E152) + (Parametres!C$1:C$257=G152) + (Parametres!C$1:C$257=F152) + (Parametres!C$1:C$257=C152))))</f>
        <v/>
      </c>
    </row>
    <row r="153" spans="9:9" x14ac:dyDescent="0.25">
      <c r="I153" s="140" t="str" cm="1">
        <f t="array" ref="I153">IF(B153="","",SUM(_xlfn._xlws.FILTER(Parametres!H$1:H$257, (Parametres!C$1:C$257=E153) + (Parametres!C$1:C$257=G153) + (Parametres!C$1:C$257=F153) + (Parametres!C$1:C$257=C153))))</f>
        <v/>
      </c>
    </row>
    <row r="154" spans="9:9" x14ac:dyDescent="0.25">
      <c r="I154" s="140" t="str" cm="1">
        <f t="array" ref="I154">IF(B154="","",SUM(_xlfn._xlws.FILTER(Parametres!H$1:H$257, (Parametres!C$1:C$257=E154) + (Parametres!C$1:C$257=G154) + (Parametres!C$1:C$257=F154) + (Parametres!C$1:C$257=C154))))</f>
        <v/>
      </c>
    </row>
    <row r="155" spans="9:9" x14ac:dyDescent="0.25">
      <c r="I155" s="140" t="str" cm="1">
        <f t="array" ref="I155">IF(B155="","",SUM(_xlfn._xlws.FILTER(Parametres!H$1:H$257, (Parametres!C$1:C$257=E155) + (Parametres!C$1:C$257=G155) + (Parametres!C$1:C$257=F155) + (Parametres!C$1:C$257=C155))))</f>
        <v/>
      </c>
    </row>
    <row r="156" spans="9:9" x14ac:dyDescent="0.25">
      <c r="I156" s="140" t="str" cm="1">
        <f t="array" ref="I156">IF(B156="","",SUM(_xlfn._xlws.FILTER(Parametres!H$1:H$257, (Parametres!C$1:C$257=E156) + (Parametres!C$1:C$257=G156) + (Parametres!C$1:C$257=F156) + (Parametres!C$1:C$257=C156))))</f>
        <v/>
      </c>
    </row>
    <row r="157" spans="9:9" x14ac:dyDescent="0.25">
      <c r="I157" s="140" t="str" cm="1">
        <f t="array" ref="I157">IF(B157="","",SUM(_xlfn._xlws.FILTER(Parametres!H$1:H$257, (Parametres!C$1:C$257=E157) + (Parametres!C$1:C$257=G157) + (Parametres!C$1:C$257=F157) + (Parametres!C$1:C$257=C157))))</f>
        <v/>
      </c>
    </row>
    <row r="158" spans="9:9" x14ac:dyDescent="0.25">
      <c r="I158" s="140" t="str" cm="1">
        <f t="array" ref="I158">IF(B158="","",SUM(_xlfn._xlws.FILTER(Parametres!H$1:H$257, (Parametres!C$1:C$257=E158) + (Parametres!C$1:C$257=G158) + (Parametres!C$1:C$257=F158) + (Parametres!C$1:C$257=C158))))</f>
        <v/>
      </c>
    </row>
    <row r="159" spans="9:9" x14ac:dyDescent="0.25">
      <c r="I159" s="140" t="str" cm="1">
        <f t="array" ref="I159">IF(B159="","",SUM(_xlfn._xlws.FILTER(Parametres!H$1:H$257, (Parametres!C$1:C$257=E159) + (Parametres!C$1:C$257=G159) + (Parametres!C$1:C$257=F159) + (Parametres!C$1:C$257=C159))))</f>
        <v/>
      </c>
    </row>
    <row r="160" spans="9:9" x14ac:dyDescent="0.25">
      <c r="I160" s="140" t="str" cm="1">
        <f t="array" ref="I160">IF(B160="","",SUM(_xlfn._xlws.FILTER(Parametres!H$1:H$257, (Parametres!C$1:C$257=E160) + (Parametres!C$1:C$257=G160) + (Parametres!C$1:C$257=F160) + (Parametres!C$1:C$257=C160))))</f>
        <v/>
      </c>
    </row>
    <row r="161" spans="9:9" x14ac:dyDescent="0.25">
      <c r="I161" s="140" t="str" cm="1">
        <f t="array" ref="I161">IF(B161="","",SUM(_xlfn._xlws.FILTER(Parametres!H$1:H$257, (Parametres!C$1:C$257=E161) + (Parametres!C$1:C$257=G161) + (Parametres!C$1:C$257=F161) + (Parametres!C$1:C$257=C161))))</f>
        <v/>
      </c>
    </row>
    <row r="162" spans="9:9" x14ac:dyDescent="0.25">
      <c r="I162" s="140" t="str" cm="1">
        <f t="array" ref="I162">IF(B162="","",SUM(_xlfn._xlws.FILTER(Parametres!H$1:H$257, (Parametres!C$1:C$257=E162) + (Parametres!C$1:C$257=G162) + (Parametres!C$1:C$257=F162) + (Parametres!C$1:C$257=C162))))</f>
        <v/>
      </c>
    </row>
    <row r="163" spans="9:9" x14ac:dyDescent="0.25">
      <c r="I163" s="140" t="str" cm="1">
        <f t="array" ref="I163">IF(B163="","",SUM(_xlfn._xlws.FILTER(Parametres!H$1:H$257, (Parametres!C$1:C$257=E163) + (Parametres!C$1:C$257=G163) + (Parametres!C$1:C$257=F163) + (Parametres!C$1:C$257=C163))))</f>
        <v/>
      </c>
    </row>
    <row r="164" spans="9:9" x14ac:dyDescent="0.25">
      <c r="I164" s="140" t="str" cm="1">
        <f t="array" ref="I164">IF(B164="","",SUM(_xlfn._xlws.FILTER(Parametres!H$1:H$257, (Parametres!C$1:C$257=E164) + (Parametres!C$1:C$257=G164) + (Parametres!C$1:C$257=F164) + (Parametres!C$1:C$257=C164))))</f>
        <v/>
      </c>
    </row>
    <row r="165" spans="9:9" x14ac:dyDescent="0.25">
      <c r="I165" s="140" t="str" cm="1">
        <f t="array" ref="I165">IF(B165="","",SUM(_xlfn._xlws.FILTER(Parametres!H$1:H$257, (Parametres!C$1:C$257=E165) + (Parametres!C$1:C$257=G165) + (Parametres!C$1:C$257=F165) + (Parametres!C$1:C$257=C165))))</f>
        <v/>
      </c>
    </row>
    <row r="166" spans="9:9" x14ac:dyDescent="0.25">
      <c r="I166" s="140" t="str" cm="1">
        <f t="array" ref="I166">IF(B166="","",SUM(_xlfn._xlws.FILTER(Parametres!H$1:H$257, (Parametres!C$1:C$257=E166) + (Parametres!C$1:C$257=G166) + (Parametres!C$1:C$257=F166) + (Parametres!C$1:C$257=C166))))</f>
        <v/>
      </c>
    </row>
    <row r="167" spans="9:9" x14ac:dyDescent="0.25">
      <c r="I167" s="140" t="str" cm="1">
        <f t="array" ref="I167">IF(B167="","",SUM(_xlfn._xlws.FILTER(Parametres!H$1:H$257, (Parametres!C$1:C$257=E167) + (Parametres!C$1:C$257=G167) + (Parametres!C$1:C$257=F167) + (Parametres!C$1:C$257=C167))))</f>
        <v/>
      </c>
    </row>
    <row r="168" spans="9:9" x14ac:dyDescent="0.25">
      <c r="I168" s="140" t="str" cm="1">
        <f t="array" ref="I168">IF(B168="","",SUM(_xlfn._xlws.FILTER(Parametres!H$1:H$257, (Parametres!C$1:C$257=E168) + (Parametres!C$1:C$257=G168) + (Parametres!C$1:C$257=F168) + (Parametres!C$1:C$257=C168))))</f>
        <v/>
      </c>
    </row>
    <row r="169" spans="9:9" x14ac:dyDescent="0.25">
      <c r="I169" s="140" t="str" cm="1">
        <f t="array" ref="I169">IF(B169="","",SUM(_xlfn._xlws.FILTER(Parametres!H$1:H$257, (Parametres!C$1:C$257=E169) + (Parametres!C$1:C$257=G169) + (Parametres!C$1:C$257=F169) + (Parametres!C$1:C$257=C169))))</f>
        <v/>
      </c>
    </row>
    <row r="170" spans="9:9" x14ac:dyDescent="0.25">
      <c r="I170" s="140" t="str" cm="1">
        <f t="array" ref="I170">IF(B170="","",SUM(_xlfn._xlws.FILTER(Parametres!H$1:H$257, (Parametres!C$1:C$257=E170) + (Parametres!C$1:C$257=G170) + (Parametres!C$1:C$257=F170) + (Parametres!C$1:C$257=C170))))</f>
        <v/>
      </c>
    </row>
    <row r="171" spans="9:9" x14ac:dyDescent="0.25">
      <c r="I171" s="140" t="str" cm="1">
        <f t="array" ref="I171">IF(B171="","",SUM(_xlfn._xlws.FILTER(Parametres!H$1:H$257, (Parametres!C$1:C$257=E171) + (Parametres!C$1:C$257=G171) + (Parametres!C$1:C$257=F171) + (Parametres!C$1:C$257=C171))))</f>
        <v/>
      </c>
    </row>
    <row r="172" spans="9:9" x14ac:dyDescent="0.25">
      <c r="I172" s="140" t="str" cm="1">
        <f t="array" ref="I172">IF(B172="","",SUM(_xlfn._xlws.FILTER(Parametres!H$1:H$257, (Parametres!C$1:C$257=E172) + (Parametres!C$1:C$257=G172) + (Parametres!C$1:C$257=F172) + (Parametres!C$1:C$257=C172))))</f>
        <v/>
      </c>
    </row>
    <row r="173" spans="9:9" x14ac:dyDescent="0.25">
      <c r="I173" s="140" t="str" cm="1">
        <f t="array" ref="I173">IF(B173="","",SUM(_xlfn._xlws.FILTER(Parametres!H$1:H$257, (Parametres!C$1:C$257=E173) + (Parametres!C$1:C$257=G173) + (Parametres!C$1:C$257=F173) + (Parametres!C$1:C$257=C173))))</f>
        <v/>
      </c>
    </row>
    <row r="174" spans="9:9" x14ac:dyDescent="0.25">
      <c r="I174" s="140" t="str" cm="1">
        <f t="array" ref="I174">IF(B174="","",SUM(_xlfn._xlws.FILTER(Parametres!H$1:H$257, (Parametres!C$1:C$257=E174) + (Parametres!C$1:C$257=G174) + (Parametres!C$1:C$257=F174) + (Parametres!C$1:C$257=C174))))</f>
        <v/>
      </c>
    </row>
    <row r="175" spans="9:9" x14ac:dyDescent="0.25">
      <c r="I175" s="140" t="str" cm="1">
        <f t="array" ref="I175">IF(B175="","",SUM(_xlfn._xlws.FILTER(Parametres!H$1:H$257, (Parametres!C$1:C$257=E175) + (Parametres!C$1:C$257=G175) + (Parametres!C$1:C$257=F175) + (Parametres!C$1:C$257=C175))))</f>
        <v/>
      </c>
    </row>
    <row r="176" spans="9:9" x14ac:dyDescent="0.25">
      <c r="I176" s="140" t="str" cm="1">
        <f t="array" ref="I176">IF(B176="","",SUM(_xlfn._xlws.FILTER(Parametres!H$1:H$257, (Parametres!C$1:C$257=E176) + (Parametres!C$1:C$257=G176) + (Parametres!C$1:C$257=F176) + (Parametres!C$1:C$257=C176))))</f>
        <v/>
      </c>
    </row>
    <row r="177" spans="9:9" x14ac:dyDescent="0.25">
      <c r="I177" s="140" t="str" cm="1">
        <f t="array" ref="I177">IF(B177="","",SUM(_xlfn._xlws.FILTER(Parametres!H$1:H$257, (Parametres!C$1:C$257=E177) + (Parametres!C$1:C$257=G177) + (Parametres!C$1:C$257=F177) + (Parametres!C$1:C$257=C177))))</f>
        <v/>
      </c>
    </row>
    <row r="178" spans="9:9" x14ac:dyDescent="0.25">
      <c r="I178" s="140" t="str" cm="1">
        <f t="array" ref="I178">IF(B178="","",SUM(_xlfn._xlws.FILTER(Parametres!H$1:H$257, (Parametres!C$1:C$257=E178) + (Parametres!C$1:C$257=G178) + (Parametres!C$1:C$257=F178) + (Parametres!C$1:C$257=C178))))</f>
        <v/>
      </c>
    </row>
    <row r="179" spans="9:9" x14ac:dyDescent="0.25">
      <c r="I179" s="140" t="str" cm="1">
        <f t="array" ref="I179">IF(B179="","",SUM(_xlfn._xlws.FILTER(Parametres!H$1:H$257, (Parametres!C$1:C$257=E179) + (Parametres!C$1:C$257=G179) + (Parametres!C$1:C$257=F179) + (Parametres!C$1:C$257=C179))))</f>
        <v/>
      </c>
    </row>
    <row r="180" spans="9:9" x14ac:dyDescent="0.25">
      <c r="I180" s="140" t="str" cm="1">
        <f t="array" ref="I180">IF(B180="","",SUM(_xlfn._xlws.FILTER(Parametres!H$1:H$257, (Parametres!C$1:C$257=E180) + (Parametres!C$1:C$257=G180) + (Parametres!C$1:C$257=F180) + (Parametres!C$1:C$257=C180))))</f>
        <v/>
      </c>
    </row>
    <row r="181" spans="9:9" x14ac:dyDescent="0.25">
      <c r="I181" s="140" t="str" cm="1">
        <f t="array" ref="I181">IF(B181="","",SUM(_xlfn._xlws.FILTER(Parametres!H$1:H$257, (Parametres!C$1:C$257=E181) + (Parametres!C$1:C$257=G181) + (Parametres!C$1:C$257=F181) + (Parametres!C$1:C$257=C181))))</f>
        <v/>
      </c>
    </row>
    <row r="182" spans="9:9" x14ac:dyDescent="0.25">
      <c r="I182" s="140" t="str" cm="1">
        <f t="array" ref="I182">IF(B182="","",SUM(_xlfn._xlws.FILTER(Parametres!H$1:H$257, (Parametres!C$1:C$257=E182) + (Parametres!C$1:C$257=G182) + (Parametres!C$1:C$257=F182) + (Parametres!C$1:C$257=C182))))</f>
        <v/>
      </c>
    </row>
    <row r="183" spans="9:9" x14ac:dyDescent="0.25">
      <c r="I183" s="140" t="str" cm="1">
        <f t="array" ref="I183">IF(B183="","",SUM(_xlfn._xlws.FILTER(Parametres!H$1:H$257, (Parametres!C$1:C$257=E183) + (Parametres!C$1:C$257=G183) + (Parametres!C$1:C$257=F183) + (Parametres!C$1:C$257=C183))))</f>
        <v/>
      </c>
    </row>
    <row r="184" spans="9:9" x14ac:dyDescent="0.25">
      <c r="I184" s="140" t="str" cm="1">
        <f t="array" ref="I184">IF(B184="","",SUM(_xlfn._xlws.FILTER(Parametres!H$1:H$257, (Parametres!C$1:C$257=E184) + (Parametres!C$1:C$257=G184) + (Parametres!C$1:C$257=F184) + (Parametres!C$1:C$257=C184))))</f>
        <v/>
      </c>
    </row>
    <row r="185" spans="9:9" x14ac:dyDescent="0.25">
      <c r="I185" s="140" t="str" cm="1">
        <f t="array" ref="I185">IF(B185="","",SUM(_xlfn._xlws.FILTER(Parametres!H$1:H$257, (Parametres!C$1:C$257=E185) + (Parametres!C$1:C$257=G185) + (Parametres!C$1:C$257=F185) + (Parametres!C$1:C$257=C185))))</f>
        <v/>
      </c>
    </row>
    <row r="186" spans="9:9" x14ac:dyDescent="0.25">
      <c r="I186" s="140" t="str" cm="1">
        <f t="array" ref="I186">IF(B186="","",SUM(_xlfn._xlws.FILTER(Parametres!H$1:H$257, (Parametres!C$1:C$257=E186) + (Parametres!C$1:C$257=G186) + (Parametres!C$1:C$257=F186) + (Parametres!C$1:C$257=C186))))</f>
        <v/>
      </c>
    </row>
    <row r="187" spans="9:9" x14ac:dyDescent="0.25">
      <c r="I187" s="140" t="str" cm="1">
        <f t="array" ref="I187">IF(B187="","",SUM(_xlfn._xlws.FILTER(Parametres!H$1:H$257, (Parametres!C$1:C$257=E187) + (Parametres!C$1:C$257=G187) + (Parametres!C$1:C$257=F187) + (Parametres!C$1:C$257=C187))))</f>
        <v/>
      </c>
    </row>
    <row r="188" spans="9:9" x14ac:dyDescent="0.25">
      <c r="I188" s="140" t="str" cm="1">
        <f t="array" ref="I188">IF(B188="","",SUM(_xlfn._xlws.FILTER(Parametres!H$1:H$257, (Parametres!C$1:C$257=E188) + (Parametres!C$1:C$257=G188) + (Parametres!C$1:C$257=F188) + (Parametres!C$1:C$257=C188))))</f>
        <v/>
      </c>
    </row>
    <row r="189" spans="9:9" x14ac:dyDescent="0.25">
      <c r="I189" s="140" t="str" cm="1">
        <f t="array" ref="I189">IF(B189="","",SUM(_xlfn._xlws.FILTER(Parametres!H$1:H$257, (Parametres!C$1:C$257=E189) + (Parametres!C$1:C$257=G189) + (Parametres!C$1:C$257=F189) + (Parametres!C$1:C$257=C189))))</f>
        <v/>
      </c>
    </row>
    <row r="190" spans="9:9" x14ac:dyDescent="0.25">
      <c r="I190" s="140" t="str" cm="1">
        <f t="array" ref="I190">IF(B190="","",SUM(_xlfn._xlws.FILTER(Parametres!H$1:H$257, (Parametres!C$1:C$257=E190) + (Parametres!C$1:C$257=G190) + (Parametres!C$1:C$257=F190) + (Parametres!C$1:C$257=C190))))</f>
        <v/>
      </c>
    </row>
    <row r="191" spans="9:9" x14ac:dyDescent="0.25">
      <c r="I191" s="140" t="str" cm="1">
        <f t="array" ref="I191">IF(B191="","",SUM(_xlfn._xlws.FILTER(Parametres!H$1:H$257, (Parametres!C$1:C$257=E191) + (Parametres!C$1:C$257=G191) + (Parametres!C$1:C$257=F191) + (Parametres!C$1:C$257=C191))))</f>
        <v/>
      </c>
    </row>
    <row r="192" spans="9:9" x14ac:dyDescent="0.25">
      <c r="I192" s="140" t="str" cm="1">
        <f t="array" ref="I192">IF(B192="","",SUM(_xlfn._xlws.FILTER(Parametres!H$1:H$257, (Parametres!C$1:C$257=E192) + (Parametres!C$1:C$257=G192) + (Parametres!C$1:C$257=F192) + (Parametres!C$1:C$257=C192))))</f>
        <v/>
      </c>
    </row>
    <row r="193" spans="9:9" x14ac:dyDescent="0.25">
      <c r="I193" s="140" t="str" cm="1">
        <f t="array" ref="I193">IF(B193="","",SUM(_xlfn._xlws.FILTER(Parametres!H$1:H$257, (Parametres!C$1:C$257=E193) + (Parametres!C$1:C$257=G193) + (Parametres!C$1:C$257=F193) + (Parametres!C$1:C$257=C193))))</f>
        <v/>
      </c>
    </row>
    <row r="194" spans="9:9" x14ac:dyDescent="0.25">
      <c r="I194" s="140" t="str" cm="1">
        <f t="array" ref="I194">IF(B194="","",SUM(_xlfn._xlws.FILTER(Parametres!H$1:H$257, (Parametres!C$1:C$257=E194) + (Parametres!C$1:C$257=G194) + (Parametres!C$1:C$257=F194) + (Parametres!C$1:C$257=C194))))</f>
        <v/>
      </c>
    </row>
    <row r="195" spans="9:9" x14ac:dyDescent="0.25">
      <c r="I195" s="140" t="str" cm="1">
        <f t="array" ref="I195">IF(B195="","",SUM(_xlfn._xlws.FILTER(Parametres!H$1:H$257, (Parametres!C$1:C$257=E195) + (Parametres!C$1:C$257=G195) + (Parametres!C$1:C$257=F195) + (Parametres!C$1:C$257=C195))))</f>
        <v/>
      </c>
    </row>
    <row r="196" spans="9:9" x14ac:dyDescent="0.25">
      <c r="I196" s="140" t="str" cm="1">
        <f t="array" ref="I196">IF(B196="","",SUM(_xlfn._xlws.FILTER(Parametres!H$1:H$257, (Parametres!C$1:C$257=E196) + (Parametres!C$1:C$257=G196) + (Parametres!C$1:C$257=F196) + (Parametres!C$1:C$257=C196))))</f>
        <v/>
      </c>
    </row>
    <row r="197" spans="9:9" x14ac:dyDescent="0.25">
      <c r="I197" s="140" t="str" cm="1">
        <f t="array" ref="I197">IF(B197="","",SUM(_xlfn._xlws.FILTER(Parametres!H$1:H$257, (Parametres!C$1:C$257=E197) + (Parametres!C$1:C$257=G197) + (Parametres!C$1:C$257=F197) + (Parametres!C$1:C$257=C197))))</f>
        <v/>
      </c>
    </row>
    <row r="198" spans="9:9" x14ac:dyDescent="0.25">
      <c r="I198" s="140" t="str" cm="1">
        <f t="array" ref="I198">IF(B198="","",SUM(_xlfn._xlws.FILTER(Parametres!H$1:H$257, (Parametres!C$1:C$257=E198) + (Parametres!C$1:C$257=G198) + (Parametres!C$1:C$257=F198) + (Parametres!C$1:C$257=C198))))</f>
        <v/>
      </c>
    </row>
    <row r="199" spans="9:9" x14ac:dyDescent="0.25">
      <c r="I199" s="140" t="str" cm="1">
        <f t="array" ref="I199">IF(B199="","",SUM(_xlfn._xlws.FILTER(Parametres!H$1:H$257, (Parametres!C$1:C$257=E199) + (Parametres!C$1:C$257=G199) + (Parametres!C$1:C$257=F199) + (Parametres!C$1:C$257=C199))))</f>
        <v/>
      </c>
    </row>
    <row r="200" spans="9:9" x14ac:dyDescent="0.25">
      <c r="I200" s="140" t="str" cm="1">
        <f t="array" ref="I200">IF(B200="","",SUM(_xlfn._xlws.FILTER(Parametres!H$1:H$257, (Parametres!C$1:C$257=E200) + (Parametres!C$1:C$257=G200) + (Parametres!C$1:C$257=F200) + (Parametres!C$1:C$257=C200))))</f>
        <v/>
      </c>
    </row>
    <row r="201" spans="9:9" x14ac:dyDescent="0.25">
      <c r="I201" s="140" t="str" cm="1">
        <f t="array" ref="I201">IF(B201="","",SUM(_xlfn._xlws.FILTER(Parametres!H$1:H$257, (Parametres!C$1:C$257=E201) + (Parametres!C$1:C$257=G201) + (Parametres!C$1:C$257=F201) + (Parametres!C$1:C$257=C201))))</f>
        <v/>
      </c>
    </row>
    <row r="202" spans="9:9" x14ac:dyDescent="0.25">
      <c r="I202" s="140" t="str" cm="1">
        <f t="array" ref="I202">IF(B202="","",SUM(_xlfn._xlws.FILTER(Parametres!H$1:H$257, (Parametres!C$1:C$257=E202) + (Parametres!C$1:C$257=G202) + (Parametres!C$1:C$257=F202) + (Parametres!C$1:C$257=C202))))</f>
        <v/>
      </c>
    </row>
    <row r="203" spans="9:9" x14ac:dyDescent="0.25">
      <c r="I203" s="140" t="str" cm="1">
        <f t="array" ref="I203">IF(B203="","",SUM(_xlfn._xlws.FILTER(Parametres!H$1:H$257, (Parametres!C$1:C$257=E203) + (Parametres!C$1:C$257=G203) + (Parametres!C$1:C$257=F203) + (Parametres!C$1:C$257=C203))))</f>
        <v/>
      </c>
    </row>
    <row r="204" spans="9:9" x14ac:dyDescent="0.25">
      <c r="I204" s="140" t="str" cm="1">
        <f t="array" ref="I204">IF(B204="","",SUM(_xlfn._xlws.FILTER(Parametres!H$1:H$257, (Parametres!C$1:C$257=E204) + (Parametres!C$1:C$257=G204) + (Parametres!C$1:C$257=F204) + (Parametres!C$1:C$257=C204))))</f>
        <v/>
      </c>
    </row>
    <row r="205" spans="9:9" x14ac:dyDescent="0.25">
      <c r="I205" s="140" t="str" cm="1">
        <f t="array" ref="I205">IF(B205="","",SUM(_xlfn._xlws.FILTER(Parametres!H$1:H$257, (Parametres!C$1:C$257=E205) + (Parametres!C$1:C$257=G205) + (Parametres!C$1:C$257=F205) + (Parametres!C$1:C$257=C205))))</f>
        <v/>
      </c>
    </row>
    <row r="206" spans="9:9" x14ac:dyDescent="0.25">
      <c r="I206" s="140" t="str" cm="1">
        <f t="array" ref="I206">IF(B206="","",SUM(_xlfn._xlws.FILTER(Parametres!H$1:H$257, (Parametres!C$1:C$257=E206) + (Parametres!C$1:C$257=G206) + (Parametres!C$1:C$257=F206) + (Parametres!C$1:C$257=C206))))</f>
        <v/>
      </c>
    </row>
    <row r="207" spans="9:9" x14ac:dyDescent="0.25">
      <c r="I207" s="140" t="str" cm="1">
        <f t="array" ref="I207">IF(B207="","",SUM(_xlfn._xlws.FILTER(Parametres!H$1:H$257, (Parametres!C$1:C$257=E207) + (Parametres!C$1:C$257=G207) + (Parametres!C$1:C$257=F207) + (Parametres!C$1:C$257=C207))))</f>
        <v/>
      </c>
    </row>
    <row r="208" spans="9:9" x14ac:dyDescent="0.25">
      <c r="I208" s="140" t="str" cm="1">
        <f t="array" ref="I208">IF(B208="","",SUM(_xlfn._xlws.FILTER(Parametres!H$1:H$257, (Parametres!C$1:C$257=E208) + (Parametres!C$1:C$257=G208) + (Parametres!C$1:C$257=F208) + (Parametres!C$1:C$257=C208))))</f>
        <v/>
      </c>
    </row>
    <row r="209" spans="9:9" x14ac:dyDescent="0.25">
      <c r="I209" s="140" t="str" cm="1">
        <f t="array" ref="I209">IF(B209="","",SUM(_xlfn._xlws.FILTER(Parametres!H$1:H$257, (Parametres!C$1:C$257=E209) + (Parametres!C$1:C$257=G209) + (Parametres!C$1:C$257=F209) + (Parametres!C$1:C$257=C209))))</f>
        <v/>
      </c>
    </row>
    <row r="210" spans="9:9" x14ac:dyDescent="0.25">
      <c r="I210" s="140" t="str" cm="1">
        <f t="array" ref="I210">IF(B210="","",SUM(_xlfn._xlws.FILTER(Parametres!H$1:H$257, (Parametres!C$1:C$257=E210) + (Parametres!C$1:C$257=G210) + (Parametres!C$1:C$257=F210) + (Parametres!C$1:C$257=C210))))</f>
        <v/>
      </c>
    </row>
    <row r="211" spans="9:9" x14ac:dyDescent="0.25">
      <c r="I211" s="140" t="str" cm="1">
        <f t="array" ref="I211">IF(B211="","",SUM(_xlfn._xlws.FILTER(Parametres!H$1:H$257, (Parametres!C$1:C$257=E211) + (Parametres!C$1:C$257=G211) + (Parametres!C$1:C$257=F211) + (Parametres!C$1:C$257=C211))))</f>
        <v/>
      </c>
    </row>
    <row r="212" spans="9:9" x14ac:dyDescent="0.25">
      <c r="I212" s="140" t="str" cm="1">
        <f t="array" ref="I212">IF(B212="","",SUM(_xlfn._xlws.FILTER(Parametres!H$1:H$257, (Parametres!C$1:C$257=E212) + (Parametres!C$1:C$257=G212) + (Parametres!C$1:C$257=F212) + (Parametres!C$1:C$257=C212))))</f>
        <v/>
      </c>
    </row>
    <row r="213" spans="9:9" x14ac:dyDescent="0.25">
      <c r="I213" s="140" t="str" cm="1">
        <f t="array" ref="I213">IF(B213="","",SUM(_xlfn._xlws.FILTER(Parametres!H$1:H$257, (Parametres!C$1:C$257=E213) + (Parametres!C$1:C$257=G213) + (Parametres!C$1:C$257=F213) + (Parametres!C$1:C$257=C213))))</f>
        <v/>
      </c>
    </row>
    <row r="214" spans="9:9" x14ac:dyDescent="0.25">
      <c r="I214" s="140" t="str" cm="1">
        <f t="array" ref="I214">IF(B214="","",SUM(_xlfn._xlws.FILTER(Parametres!H$1:H$257, (Parametres!C$1:C$257=E214) + (Parametres!C$1:C$257=G214) + (Parametres!C$1:C$257=F214) + (Parametres!C$1:C$257=C214))))</f>
        <v/>
      </c>
    </row>
    <row r="215" spans="9:9" x14ac:dyDescent="0.25">
      <c r="I215" s="140" t="str" cm="1">
        <f t="array" ref="I215">IF(B215="","",SUM(_xlfn._xlws.FILTER(Parametres!H$1:H$257, (Parametres!C$1:C$257=E215) + (Parametres!C$1:C$257=G215) + (Parametres!C$1:C$257=F215) + (Parametres!C$1:C$257=C215))))</f>
        <v/>
      </c>
    </row>
    <row r="216" spans="9:9" x14ac:dyDescent="0.25">
      <c r="I216" s="140" t="str" cm="1">
        <f t="array" ref="I216">IF(B216="","",SUM(_xlfn._xlws.FILTER(Parametres!H$1:H$257, (Parametres!C$1:C$257=E216) + (Parametres!C$1:C$257=G216) + (Parametres!C$1:C$257=F216) + (Parametres!C$1:C$257=C216))))</f>
        <v/>
      </c>
    </row>
    <row r="217" spans="9:9" x14ac:dyDescent="0.25">
      <c r="I217" s="140" t="str" cm="1">
        <f t="array" ref="I217">IF(B217="","",SUM(_xlfn._xlws.FILTER(Parametres!H$1:H$257, (Parametres!C$1:C$257=E217) + (Parametres!C$1:C$257=G217) + (Parametres!C$1:C$257=F217) + (Parametres!C$1:C$257=C217))))</f>
        <v/>
      </c>
    </row>
    <row r="218" spans="9:9" x14ac:dyDescent="0.25">
      <c r="I218" s="140" t="str" cm="1">
        <f t="array" ref="I218">IF(B218="","",SUM(_xlfn._xlws.FILTER(Parametres!H$1:H$257, (Parametres!C$1:C$257=E218) + (Parametres!C$1:C$257=G218) + (Parametres!C$1:C$257=F218) + (Parametres!C$1:C$257=C218))))</f>
        <v/>
      </c>
    </row>
    <row r="219" spans="9:9" x14ac:dyDescent="0.25">
      <c r="I219" s="140" t="str" cm="1">
        <f t="array" ref="I219">IF(B219="","",SUM(_xlfn._xlws.FILTER(Parametres!H$1:H$257, (Parametres!C$1:C$257=E219) + (Parametres!C$1:C$257=G219) + (Parametres!C$1:C$257=F219) + (Parametres!C$1:C$257=C219))))</f>
        <v/>
      </c>
    </row>
    <row r="220" spans="9:9" x14ac:dyDescent="0.25">
      <c r="I220" s="140" t="str" cm="1">
        <f t="array" ref="I220">IF(B220="","",SUM(_xlfn._xlws.FILTER(Parametres!H$1:H$257, (Parametres!C$1:C$257=E220) + (Parametres!C$1:C$257=G220) + (Parametres!C$1:C$257=F220) + (Parametres!C$1:C$257=C220))))</f>
        <v/>
      </c>
    </row>
    <row r="221" spans="9:9" x14ac:dyDescent="0.25">
      <c r="I221" s="140" t="str" cm="1">
        <f t="array" ref="I221">IF(B221="","",SUM(_xlfn._xlws.FILTER(Parametres!H$1:H$257, (Parametres!C$1:C$257=E221) + (Parametres!C$1:C$257=G221) + (Parametres!C$1:C$257=F221) + (Parametres!C$1:C$257=C221))))</f>
        <v/>
      </c>
    </row>
    <row r="222" spans="9:9" x14ac:dyDescent="0.25">
      <c r="I222" s="140" t="str" cm="1">
        <f t="array" ref="I222">IF(B222="","",SUM(_xlfn._xlws.FILTER(Parametres!H$1:H$257, (Parametres!C$1:C$257=E222) + (Parametres!C$1:C$257=G222) + (Parametres!C$1:C$257=F222) + (Parametres!C$1:C$257=C222))))</f>
        <v/>
      </c>
    </row>
    <row r="223" spans="9:9" x14ac:dyDescent="0.25">
      <c r="I223" s="140" t="str" cm="1">
        <f t="array" ref="I223">IF(B223="","",SUM(_xlfn._xlws.FILTER(Parametres!H$1:H$257, (Parametres!C$1:C$257=E223) + (Parametres!C$1:C$257=G223) + (Parametres!C$1:C$257=F223) + (Parametres!C$1:C$257=C223))))</f>
        <v/>
      </c>
    </row>
    <row r="224" spans="9:9" x14ac:dyDescent="0.25">
      <c r="I224" s="140" t="str" cm="1">
        <f t="array" ref="I224">IF(B224="","",SUM(_xlfn._xlws.FILTER(Parametres!H$1:H$257, (Parametres!C$1:C$257=E224) + (Parametres!C$1:C$257=G224) + (Parametres!C$1:C$257=F224) + (Parametres!C$1:C$257=C224))))</f>
        <v/>
      </c>
    </row>
    <row r="225" spans="9:9" x14ac:dyDescent="0.25">
      <c r="I225" s="140" t="str" cm="1">
        <f t="array" ref="I225">IF(B225="","",SUM(_xlfn._xlws.FILTER(Parametres!H$1:H$257, (Parametres!C$1:C$257=E225) + (Parametres!C$1:C$257=G225) + (Parametres!C$1:C$257=F225) + (Parametres!C$1:C$257=C225))))</f>
        <v/>
      </c>
    </row>
    <row r="226" spans="9:9" x14ac:dyDescent="0.25">
      <c r="I226" s="140" t="str" cm="1">
        <f t="array" ref="I226">IF(B226="","",SUM(_xlfn._xlws.FILTER(Parametres!H$1:H$257, (Parametres!C$1:C$257=E226) + (Parametres!C$1:C$257=G226) + (Parametres!C$1:C$257=F226) + (Parametres!C$1:C$257=C226))))</f>
        <v/>
      </c>
    </row>
    <row r="227" spans="9:9" x14ac:dyDescent="0.25">
      <c r="I227" s="140" t="str" cm="1">
        <f t="array" ref="I227">IF(B227="","",SUM(_xlfn._xlws.FILTER(Parametres!H$1:H$257, (Parametres!C$1:C$257=E227) + (Parametres!C$1:C$257=G227) + (Parametres!C$1:C$257=F227) + (Parametres!C$1:C$257=C227))))</f>
        <v/>
      </c>
    </row>
    <row r="228" spans="9:9" x14ac:dyDescent="0.25">
      <c r="I228" s="140" t="str" cm="1">
        <f t="array" ref="I228">IF(B228="","",SUM(_xlfn._xlws.FILTER(Parametres!H$1:H$257, (Parametres!C$1:C$257=E228) + (Parametres!C$1:C$257=G228) + (Parametres!C$1:C$257=F228) + (Parametres!C$1:C$257=C228))))</f>
        <v/>
      </c>
    </row>
    <row r="229" spans="9:9" x14ac:dyDescent="0.25">
      <c r="I229" s="140" t="str" cm="1">
        <f t="array" ref="I229">IF(B229="","",SUM(_xlfn._xlws.FILTER(Parametres!H$1:H$257, (Parametres!C$1:C$257=E229) + (Parametres!C$1:C$257=G229) + (Parametres!C$1:C$257=F229) + (Parametres!C$1:C$257=C229))))</f>
        <v/>
      </c>
    </row>
    <row r="230" spans="9:9" x14ac:dyDescent="0.25">
      <c r="I230" s="140" t="str" cm="1">
        <f t="array" ref="I230">IF(B230="","",SUM(_xlfn._xlws.FILTER(Parametres!H$1:H$257, (Parametres!C$1:C$257=E230) + (Parametres!C$1:C$257=G230) + (Parametres!C$1:C$257=F230) + (Parametres!C$1:C$257=C230))))</f>
        <v/>
      </c>
    </row>
    <row r="231" spans="9:9" x14ac:dyDescent="0.25">
      <c r="I231" s="140" t="str" cm="1">
        <f t="array" ref="I231">IF(B231="","",SUM(_xlfn._xlws.FILTER(Parametres!H$1:H$257, (Parametres!C$1:C$257=E231) + (Parametres!C$1:C$257=G231) + (Parametres!C$1:C$257=F231) + (Parametres!C$1:C$257=C231))))</f>
        <v/>
      </c>
    </row>
    <row r="232" spans="9:9" x14ac:dyDescent="0.25">
      <c r="I232" s="140" t="str" cm="1">
        <f t="array" ref="I232">IF(B232="","",SUM(_xlfn._xlws.FILTER(Parametres!H$1:H$257, (Parametres!C$1:C$257=E232) + (Parametres!C$1:C$257=G232) + (Parametres!C$1:C$257=F232) + (Parametres!C$1:C$257=C232))))</f>
        <v/>
      </c>
    </row>
    <row r="233" spans="9:9" x14ac:dyDescent="0.25">
      <c r="I233" s="140" t="str" cm="1">
        <f t="array" ref="I233">IF(B233="","",SUM(_xlfn._xlws.FILTER(Parametres!H$1:H$257, (Parametres!C$1:C$257=E233) + (Parametres!C$1:C$257=G233) + (Parametres!C$1:C$257=F233) + (Parametres!C$1:C$257=C233))))</f>
        <v/>
      </c>
    </row>
    <row r="234" spans="9:9" x14ac:dyDescent="0.25">
      <c r="I234" s="140" t="str" cm="1">
        <f t="array" ref="I234">IF(B234="","",SUM(_xlfn._xlws.FILTER(Parametres!H$1:H$257, (Parametres!C$1:C$257=E234) + (Parametres!C$1:C$257=G234) + (Parametres!C$1:C$257=F234) + (Parametres!C$1:C$257=C234))))</f>
        <v/>
      </c>
    </row>
    <row r="235" spans="9:9" x14ac:dyDescent="0.25">
      <c r="I235" s="140" t="str" cm="1">
        <f t="array" ref="I235">IF(B235="","",SUM(_xlfn._xlws.FILTER(Parametres!H$1:H$257, (Parametres!C$1:C$257=E235) + (Parametres!C$1:C$257=G235) + (Parametres!C$1:C$257=F235) + (Parametres!C$1:C$257=C235))))</f>
        <v/>
      </c>
    </row>
    <row r="236" spans="9:9" x14ac:dyDescent="0.25">
      <c r="I236" s="140" t="str" cm="1">
        <f t="array" ref="I236">IF(B236="","",SUM(_xlfn._xlws.FILTER(Parametres!H$1:H$257, (Parametres!C$1:C$257=E236) + (Parametres!C$1:C$257=G236) + (Parametres!C$1:C$257=F236) + (Parametres!C$1:C$257=C236))))</f>
        <v/>
      </c>
    </row>
    <row r="237" spans="9:9" x14ac:dyDescent="0.25">
      <c r="I237" s="140" t="str" cm="1">
        <f t="array" ref="I237">IF(B237="","",SUM(_xlfn._xlws.FILTER(Parametres!H$1:H$257, (Parametres!C$1:C$257=E237) + (Parametres!C$1:C$257=G237) + (Parametres!C$1:C$257=F237) + (Parametres!C$1:C$257=C237))))</f>
        <v/>
      </c>
    </row>
    <row r="238" spans="9:9" x14ac:dyDescent="0.25">
      <c r="I238" s="140" t="str" cm="1">
        <f t="array" ref="I238">IF(B238="","",SUM(_xlfn._xlws.FILTER(Parametres!H$1:H$257, (Parametres!C$1:C$257=E238) + (Parametres!C$1:C$257=G238) + (Parametres!C$1:C$257=F238) + (Parametres!C$1:C$257=C238))))</f>
        <v/>
      </c>
    </row>
    <row r="239" spans="9:9" x14ac:dyDescent="0.25">
      <c r="I239" s="140" t="str" cm="1">
        <f t="array" ref="I239">IF(B239="","",SUM(_xlfn._xlws.FILTER(Parametres!H$1:H$257, (Parametres!C$1:C$257=E239) + (Parametres!C$1:C$257=G239) + (Parametres!C$1:C$257=F239) + (Parametres!C$1:C$257=C239))))</f>
        <v/>
      </c>
    </row>
    <row r="240" spans="9:9" x14ac:dyDescent="0.25">
      <c r="I240" s="140" t="str" cm="1">
        <f t="array" ref="I240">IF(B240="","",SUM(_xlfn._xlws.FILTER(Parametres!H$1:H$257, (Parametres!C$1:C$257=E240) + (Parametres!C$1:C$257=G240) + (Parametres!C$1:C$257=F240) + (Parametres!C$1:C$257=C240))))</f>
        <v/>
      </c>
    </row>
    <row r="241" spans="9:9" x14ac:dyDescent="0.25">
      <c r="I241" s="140" t="str" cm="1">
        <f t="array" ref="I241">IF(B241="","",SUM(_xlfn._xlws.FILTER(Parametres!H$1:H$257, (Parametres!C$1:C$257=E241) + (Parametres!C$1:C$257=G241) + (Parametres!C$1:C$257=F241) + (Parametres!C$1:C$257=C241))))</f>
        <v/>
      </c>
    </row>
  </sheetData>
  <phoneticPr fontId="3" type="noConversion"/>
  <pageMargins left="0" right="0" top="0" bottom="0.39370078740157483" header="0" footer="0.19685039370078741"/>
  <pageSetup paperSize="9" scale="47" fitToHeight="10" orientation="landscape" horizontalDpi="4294967294" verticalDpi="4294967294" r:id="rId1"/>
  <headerFooter>
    <oddFooter>&amp;C&amp;Z&amp;F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Parametres</vt:lpstr>
      <vt:lpstr>Base_matières</vt:lpstr>
      <vt:lpstr>MmExcelLinker_E0A0798F_30E1_4931_84BD_B4AB4D3F1999</vt:lpstr>
      <vt:lpstr>Base_matières!Zone_d_impression</vt:lpstr>
      <vt:lpstr>Parametres!Zone_d_impression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2026-05-04T07:34:49Z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ExcelLinker_8368C8B8_2491_440F_8D31_BFFF1753CA9A">
    <vt:lpwstr>18</vt:lpwstr>
  </property>
  <property fmtid="{D5CDD505-2E9C-101B-9397-08002B2CF9AE}" pid="3" name="MmExcelLinker_E0A0798F_30E1_4931_84BD_B4AB4D3F1999">
    <vt:lpwstr>9</vt:lpwstr>
  </property>
</Properties>
</file>